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tálogo" sheetId="2" state="visible" r:id="rId4"/>
    <sheet name="Trazabilidad" sheetId="3" state="visible" r:id="rId5"/>
    <sheet name="Entidades" sheetId="4" state="visible" r:id="rId6"/>
    <sheet name="Reglas" sheetId="5" state="visible" r:id="rId7"/>
    <sheet name="Glosario" sheetId="6" state="visible" r:id="rId8"/>
    <sheet name="Iteraciones" sheetId="7" state="visible" r:id="rId9"/>
    <sheet name="Recursos" sheetId="8" state="visible" r:id="rId10"/>
    <sheet name="Pane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El conjunto de los requisitos «Must» debe coincidir exactamente con el producto mínimo viable descrito en el apartado V.5.</t>
        </r>
      </text>
    </comment>
    <comment ref="G4" authorId="0">
      <text>
        <r>
          <rPr>
            <sz val="10"/>
            <rFont val="Arial"/>
            <family val="2"/>
          </rPr>
          <t xml:space="preserve">Condición inicial, acción y resultado observable con valores. Un adjetivo no es un criterio de aceptación.</t>
        </r>
      </text>
    </comment>
  </commentList>
</comments>
</file>

<file path=xl/sharedStrings.xml><?xml version="1.0" encoding="utf-8"?>
<sst xmlns="http://schemas.openxmlformats.org/spreadsheetml/2006/main" count="221" uniqueCount="219">
  <si>
    <t xml:space="preserve">Libro de trabajo de la AE2 · Proyecto Final de Grado 2026</t>
  </si>
  <si>
    <t xml:space="preserve">Universidad de la Cuenca del Plata · Ingeniería en Sistemas de Información · Comisión A · Sede Posadas · Docente Titular: PosDr. Darío Ezequiel Díaz · ISI-PFG-2026C2-AE2-v02</t>
  </si>
  <si>
    <t xml:space="preserve">Para qué sirve este libro</t>
  </si>
  <si>
    <t xml:space="preserve">Reúne, en un solo archivo versionable, los instrumentos de la Unidad Dos que producen el Capítulo III y alimentan los Capítulos V y X: el catálogo de requisitos, la matriz de trazabilidad, el filtro de entidades, el registro de reglas, el glosario, el plan de iteraciones y el dimensionamiento de recursos. La hoja «Panel» controla sola el estado de completitud y avisa qué falta.</t>
  </si>
  <si>
    <t xml:space="preserve">Dónde se guarda</t>
  </si>
  <si>
    <t xml:space="preserve">En el repositorio del equipo, carpeta /03-requisitos, con la nomenclatura de la cátedra: AAAAMMDD_CatalogoRequisitos_Equipo_vN.xlsx. Se versiona cada vez que se cierra un bloque de filas, no una sola vez antes de la entrega.</t>
  </si>
  <si>
    <t xml:space="preserve">Qué celdas se completan</t>
  </si>
  <si>
    <t xml:space="preserve">Todas las celdas blancas y grises de cada hoja, a partir de la fila 5. Las filas sombreadas en ocre son ejemplos resueltos sobre el caso conductor «Santa Ana»: se leen, no se copian, y se borran antes de entregar. Las columnas de control, sombreadas en amarillo, contienen fórmulas: no se escriben.</t>
  </si>
  <si>
    <t xml:space="preserve">Cómo se usan las listas desplegables</t>
  </si>
  <si>
    <t xml:space="preserve">Las columnas de tipo, prioridad y estado admiten sólo los valores de la lista. Si un valor es rechazado, es porque la categoría no corresponde a la clasificación de la cátedra.</t>
  </si>
  <si>
    <t xml:space="preserve">Qué mira la corrección</t>
  </si>
  <si>
    <t xml:space="preserve">Que cada requisito tenga sus seis campos, que su criterio de aceptación sea un procedimiento ejecutable por un tercero, que la trazabilidad cierre en doble vía y que el conjunto de los requisitos «Must» coincida con el producto mínimo viable del apartado V.5.</t>
  </si>
  <si>
    <t xml:space="preserve">Orden de trabajo sugerido</t>
  </si>
  <si>
    <t xml:space="preserve">1) Entidades y Reglas, en el taller. 2) Trazabilidad, con los hallazgos de la AE1 codificados H-01, H-02… 3) Catálogo, derivando requisitos de esos hallazgos. 4) Sesión de validación con el referente y actualización de los estados. 5) Iteraciones y Recursos, ya con el catálogo cerrado.</t>
  </si>
  <si>
    <t xml:space="preserve">Advertencia</t>
  </si>
  <si>
    <t xml:space="preserve">Ante divergencia entre este libro y la Consigna ISI-PFG-2026C2-AE2-v02, prevalece la consigna. Ante divergencia entre la consigna y la Resolución Rectoral UCP N.º 97/23, prevalece la Resolución.</t>
  </si>
  <si>
    <t xml:space="preserve">Leyenda de colores</t>
  </si>
  <si>
    <t xml:space="preserve">Ocre</t>
  </si>
  <si>
    <t xml:space="preserve">Fila de ejemplo resuelta sobre el caso «Santa Ana». Se borra antes de entregar.</t>
  </si>
  <si>
    <t xml:space="preserve">Amarillo</t>
  </si>
  <si>
    <t xml:space="preserve">Celda con fórmula de control. No se escribe.</t>
  </si>
  <si>
    <t xml:space="preserve">Blanco y gris</t>
  </si>
  <si>
    <t xml:space="preserve">Celdas que completa el equipo.</t>
  </si>
  <si>
    <t xml:space="preserve">Catálogo de requisitos · apartado III.5 del informe</t>
  </si>
  <si>
    <t xml:space="preserve">Una fila por requisito, con los seis campos completos. Regla de cómputo: un requisito sin criterio de aceptación comprobable no se computa, por bien redactado que esté. Antes de cerrar una fila, aplique la prueba del compañero: otro integrante debe poder decir, en diez segundos, cómo verificaría el requisito.</t>
  </si>
  <si>
    <t xml:space="preserve">ID</t>
  </si>
  <si>
    <t xml:space="preserve">Enunciado</t>
  </si>
  <si>
    <t xml:space="preserve">Tipo</t>
  </si>
  <si>
    <t xml:space="preserve">Categoría (si es no funcional)</t>
  </si>
  <si>
    <t xml:space="preserve">Prioridad</t>
  </si>
  <si>
    <t xml:space="preserve">Motivo de la prioridad</t>
  </si>
  <si>
    <t xml:space="preserve">Criterio de aceptación (condición, acción, resultado con valores)</t>
  </si>
  <si>
    <t xml:space="preserve">Trazabilidad (H-xx o acta)</t>
  </si>
  <si>
    <t xml:space="preserve">Estado de validación</t>
  </si>
  <si>
    <t xml:space="preserve">Iteración prevista</t>
  </si>
  <si>
    <t xml:space="preserve">¿Integra el MVP?</t>
  </si>
  <si>
    <t xml:space="preserve">Control de completitud</t>
  </si>
  <si>
    <t xml:space="preserve">RNF-01</t>
  </si>
  <si>
    <t xml:space="preserve">La captura de pesadas opera sin conectividad y sincroniza en diferido al restablecerse el enlace, sin pérdida ni duplicación de registros.</t>
  </si>
  <si>
    <t xml:space="preserve">No funcional</t>
  </si>
  <si>
    <t xml:space="preserve">Fiabilidad</t>
  </si>
  <si>
    <t xml:space="preserve">Must</t>
  </si>
  <si>
    <t xml:space="preserve">Condiciona la arquitectura completa: excluye una solución íntegramente web.</t>
  </si>
  <si>
    <t xml:space="preserve">Jornada de prueba con un puesto desconectado durante la operación; al reconectar, los registros aparecen completos y únicos en la consolidación, y el conteo coincide con el papel del puesto.</t>
  </si>
  <si>
    <t xml:space="preserve">H-02 · observación de campo del 19/08: conectividad intermitente en los tres puestos (Cap. II, ap. II.3)</t>
  </si>
  <si>
    <t xml:space="preserve">Validado</t>
  </si>
  <si>
    <t xml:space="preserve">1</t>
  </si>
  <si>
    <t xml:space="preserve">Sí</t>
  </si>
  <si>
    <t xml:space="preserve">Matriz de trazabilidad · hallazgo de la AE1 → requisito</t>
  </si>
  <si>
    <t xml:space="preserve">Se verifica en doble vía. Todo requisito llega a un hallazgo; todo hallazgo llega a un requisito o a una justificación expresa de por qué no derivó ninguno. El silencio no es una decisión.</t>
  </si>
  <si>
    <t xml:space="preserve">Código (H-01, H-02…)</t>
  </si>
  <si>
    <t xml:space="preserve">Hallazgo de la AE1 (dato y valor)</t>
  </si>
  <si>
    <t xml:space="preserve">Fuente (apartado del Cap. II o acta)</t>
  </si>
  <si>
    <t xml:space="preserve">Requisito(s) derivado(s)</t>
  </si>
  <si>
    <t xml:space="preserve">Si no deriva: justificación</t>
  </si>
  <si>
    <t xml:space="preserve">Control de la doble vía</t>
  </si>
  <si>
    <t xml:space="preserve">H-04</t>
  </si>
  <si>
    <t xml:space="preserve">Demora promedio de once días entre el cierre de quincena y la acreditación al productor, medida sobre veinticuatro quincenas.</t>
  </si>
  <si>
    <t xml:space="preserve">Cap. II, ap. II.3 · registro de liquidaciones del ejercicio</t>
  </si>
  <si>
    <t xml:space="preserve">RF-02</t>
  </si>
  <si>
    <t xml:space="preserve">Lista filtrada de entidades del dominio · Instrumento 28</t>
  </si>
  <si>
    <t xml:space="preserve">Cada candidata pasa por el filtro de las tres preguntas. Las descartadas no se borran: se reclasifican, porque los descartes de hoy son las preguntas del glosario de mañana.</t>
  </si>
  <si>
    <t xml:space="preserve">Candidata (sustantivo de la organización)</t>
  </si>
  <si>
    <t xml:space="preserve">¿Identidad propia?</t>
  </si>
  <si>
    <t xml:space="preserve">¿Datos y reglas propios?</t>
  </si>
  <si>
    <t xml:space="preserve">¿Dentro del recorte?</t>
  </si>
  <si>
    <t xml:space="preserve">Veredicto</t>
  </si>
  <si>
    <t xml:space="preserve">Fuente que la acredita</t>
  </si>
  <si>
    <t xml:space="preserve">Relaciones principales</t>
  </si>
  <si>
    <t xml:space="preserve">Pesada (el referente dice «romaneo» en dos entrevistas: ver Glosario)</t>
  </si>
  <si>
    <t xml:space="preserve">Sí: «esta pesada, la del camión de García del martes»</t>
  </si>
  <si>
    <t xml:space="preserve">Sí: kilos, humedad, fecha, balanza; reglas de validez y de quincena abierta</t>
  </si>
  <si>
    <t xml:space="preserve">Sí: origen de tres líneas de base del diagnóstico</t>
  </si>
  <si>
    <t xml:space="preserve">Entidad</t>
  </si>
  <si>
    <t xml:space="preserve">Hoja «pesadas por quincena» de la planilla (foto 19/08)</t>
  </si>
  <si>
    <t xml:space="preserve">Una quincena agrupa muchas pesadas; una pesada puede originar un reclamo</t>
  </si>
  <si>
    <t xml:space="preserve">Registro de reglas de negocio · Instrumento 29</t>
  </si>
  <si>
    <t xml:space="preserve">Regla y requisito derivado deben citar la misma fuente: esa coincidencia es la trazabilidad que la dimensión 1 de la rúbrica verifica.</t>
  </si>
  <si>
    <t xml:space="preserve">Código</t>
  </si>
  <si>
    <t xml:space="preserve">Enunciado verificable</t>
  </si>
  <si>
    <t xml:space="preserve">Fuente</t>
  </si>
  <si>
    <t xml:space="preserve">Estado</t>
  </si>
  <si>
    <t xml:space="preserve">Requisito derivado (ID)</t>
  </si>
  <si>
    <t xml:space="preserve">R-01</t>
  </si>
  <si>
    <t xml:space="preserve">Restricción</t>
  </si>
  <si>
    <t xml:space="preserve">Una quincena cerrada no admite nuevas pesadas ni modificación de las existentes; la reapertura requiere autorización registrada del administrador.</t>
  </si>
  <si>
    <t xml:space="preserve">Entrevista del 19/08 · práctica del cierre</t>
  </si>
  <si>
    <t xml:space="preserve">Validada</t>
  </si>
  <si>
    <t xml:space="preserve">RF-03</t>
  </si>
  <si>
    <t xml:space="preserve">R-02</t>
  </si>
  <si>
    <t xml:space="preserve">R-03</t>
  </si>
  <si>
    <t xml:space="preserve">R-04</t>
  </si>
  <si>
    <t xml:space="preserve">R-05</t>
  </si>
  <si>
    <t xml:space="preserve">R-06</t>
  </si>
  <si>
    <t xml:space="preserve">R-07</t>
  </si>
  <si>
    <t xml:space="preserve">R-08</t>
  </si>
  <si>
    <t xml:space="preserve">R-09</t>
  </si>
  <si>
    <t xml:space="preserve">R-10</t>
  </si>
  <si>
    <t xml:space="preserve">R-11</t>
  </si>
  <si>
    <t xml:space="preserve">R-12</t>
  </si>
  <si>
    <t xml:space="preserve">R-13</t>
  </si>
  <si>
    <t xml:space="preserve">R-14</t>
  </si>
  <si>
    <t xml:space="preserve">R-15</t>
  </si>
  <si>
    <t xml:space="preserve">R-16</t>
  </si>
  <si>
    <t xml:space="preserve">R-17</t>
  </si>
  <si>
    <t xml:space="preserve">R-18</t>
  </si>
  <si>
    <t xml:space="preserve">R-19</t>
  </si>
  <si>
    <t xml:space="preserve">R-20</t>
  </si>
  <si>
    <t xml:space="preserve">R-21</t>
  </si>
  <si>
    <t xml:space="preserve">R-22</t>
  </si>
  <si>
    <t xml:space="preserve">R-23</t>
  </si>
  <si>
    <t xml:space="preserve">R-24</t>
  </si>
  <si>
    <t xml:space="preserve">R-25</t>
  </si>
  <si>
    <t xml:space="preserve">R-26</t>
  </si>
  <si>
    <t xml:space="preserve">R-27</t>
  </si>
  <si>
    <t xml:space="preserve">R-28</t>
  </si>
  <si>
    <t xml:space="preserve">R-29</t>
  </si>
  <si>
    <t xml:space="preserve">R-30</t>
  </si>
  <si>
    <t xml:space="preserve">R-31</t>
  </si>
  <si>
    <t xml:space="preserve">R-32</t>
  </si>
  <si>
    <t xml:space="preserve">R-33</t>
  </si>
  <si>
    <t xml:space="preserve">R-34</t>
  </si>
  <si>
    <t xml:space="preserve">R-35</t>
  </si>
  <si>
    <t xml:space="preserve">R-36</t>
  </si>
  <si>
    <t xml:space="preserve">Glosario del dominio · Instrumento 30</t>
  </si>
  <si>
    <t xml:space="preserve">Vocabulario normativo del informe completo y, más adelante, de las tablas del sistema. La entrada más valiosa es la del término en disputa: el que dos personas de la organización usan distinto.</t>
  </si>
  <si>
    <t xml:space="preserve">Término (como lo usa la organización)</t>
  </si>
  <si>
    <t xml:space="preserve">Definición operativa (una o dos oraciones)</t>
  </si>
  <si>
    <t xml:space="preserve">Sinónimos y falsos amigos detectados</t>
  </si>
  <si>
    <t xml:space="preserve">Fuente (quién lo usa así)</t>
  </si>
  <si>
    <t xml:space="preserve">¿En disputa?</t>
  </si>
  <si>
    <t xml:space="preserve">Romaneo</t>
  </si>
  <si>
    <t xml:space="preserve">Registro de la operación de pesaje de un camión en una balanza, con kilos, humedad y fecha. El equipo lo denomina «pesada».</t>
  </si>
  <si>
    <t xml:space="preserve">El administrativo dice «boleta»; el productor, «ticket». Los tres nombran el mismo objeto.</t>
  </si>
  <si>
    <t xml:space="preserve">Referente y encargado de balanza (entrevistas del 19/08)</t>
  </si>
  <si>
    <t xml:space="preserve">Plan de iteraciones y presupuesto de horas · Capítulo V</t>
  </si>
  <si>
    <t xml:space="preserve">El cronograma se construye sobre el presupuesto efectivo de horas-persona y se alinea con la cadencia de artefactos: v1 en la semana 8, v2 en la semana 11, v3 en la semana 13 y versión funcional congelada en la semana 14.</t>
  </si>
  <si>
    <t xml:space="preserve">Iteración</t>
  </si>
  <si>
    <t xml:space="preserve">Desde</t>
  </si>
  <si>
    <t xml:space="preserve">Hasta</t>
  </si>
  <si>
    <t xml:space="preserve">Objetivo verificable</t>
  </si>
  <si>
    <t xml:space="preserve">Requisitos comprometidos (ID)</t>
  </si>
  <si>
    <t xml:space="preserve">Entregable de cierre</t>
  </si>
  <si>
    <t xml:space="preserve">Horas asignadas</t>
  </si>
  <si>
    <t xml:space="preserve">Presupuesto de horas-persona</t>
  </si>
  <si>
    <t xml:space="preserve">Integrantes del equipo</t>
  </si>
  <si>
    <t xml:space="preserve">Horas semanales reales por integrante (declaradas, no deseadas)</t>
  </si>
  <si>
    <t xml:space="preserve">Semanas del período</t>
  </si>
  <si>
    <t xml:space="preserve">Presupuesto total</t>
  </si>
  <si>
    <t xml:space="preserve">Reducción prevista por exámenes y feriados (horas)</t>
  </si>
  <si>
    <t xml:space="preserve">Presupuesto efectivo resultante</t>
  </si>
  <si>
    <t xml:space="preserve">Horas ya asignadas a iteraciones</t>
  </si>
  <si>
    <t xml:space="preserve">Margen disponible</t>
  </si>
  <si>
    <t xml:space="preserve">Cláusula de contingencia (exigencia vii de la consigna)</t>
  </si>
  <si>
    <t xml:space="preserve">Si el presupuesto de horas cae un tercio, se posterga</t>
  </si>
  <si>
    <t xml:space="preserve">Criterio de redistribución, según el acta de constitución</t>
  </si>
  <si>
    <t xml:space="preserve">Qué no se sacrifica en ningún caso</t>
  </si>
  <si>
    <t xml:space="preserve">La trazabilidad del catálogo y la ejecutabilidad del prototipo v1: son condiciones de cómputo.</t>
  </si>
  <si>
    <t xml:space="preserve">Dimensionamiento de recursos · Capítulo X</t>
  </si>
  <si>
    <t xml:space="preserve">Cada asignación con su justificación y su fuente. Toda cifra de costo responde las tres preguntas: quién la produjo, con qué método y sobre qué universo, y para qué período de referencia. No se promedian cifras de universos distintos.</t>
  </si>
  <si>
    <t xml:space="preserve">Clase</t>
  </si>
  <si>
    <t xml:space="preserve">Concepto</t>
  </si>
  <si>
    <t xml:space="preserve">Cantidad</t>
  </si>
  <si>
    <t xml:space="preserve">Unidad</t>
  </si>
  <si>
    <t xml:space="preserve">Costo unitario</t>
  </si>
  <si>
    <t xml:space="preserve">Subtotal</t>
  </si>
  <si>
    <t xml:space="preserve">Fuente, período y justificación</t>
  </si>
  <si>
    <t xml:space="preserve">Humanos</t>
  </si>
  <si>
    <t xml:space="preserve">Perfil de desarrollo (equipo del proyecto)</t>
  </si>
  <si>
    <t xml:space="preserve">hora</t>
  </si>
  <si>
    <t xml:space="preserve">Costo de hora de referencia del sector SSI. Fuente: [organismo, relevamiento, período]. Se declara el universo y no se promedian fuentes distintas.</t>
  </si>
  <si>
    <t xml:space="preserve">Total general</t>
  </si>
  <si>
    <t xml:space="preserve">Horas humanas comprometidas</t>
  </si>
  <si>
    <t xml:space="preserve">Coherencia con el Capítulo V</t>
  </si>
  <si>
    <t xml:space="preserve">Panel de control de la entrega</t>
  </si>
  <si>
    <t xml:space="preserve">Los valores se calculan solos a partir de las demás hojas. Ninguna celda de esta hoja se escribe a mano. Recórrala la noche anterior a la entrega: cada línea en rojo es una observación previsible en la devolución.</t>
  </si>
  <si>
    <t xml:space="preserve">Indicador</t>
  </si>
  <si>
    <t xml:space="preserve">Valor</t>
  </si>
  <si>
    <t xml:space="preserve">Qué debe verificarse</t>
  </si>
  <si>
    <t xml:space="preserve">Requisitos registrados</t>
  </si>
  <si>
    <t xml:space="preserve">Un catálogo de menos de ocho requisitos rara vez cubre el alcance declarado.</t>
  </si>
  <si>
    <t xml:space="preserve">Requisitos con criterio de aceptación</t>
  </si>
  <si>
    <t xml:space="preserve">Debe coincidir con el total. Un requisito sin criterio no se computa.</t>
  </si>
  <si>
    <t xml:space="preserve">Requisitos trazados a un hallazgo o acta</t>
  </si>
  <si>
    <t xml:space="preserve">Debe coincidir con el total. Sin origen, el requisito no ingresa al catálogo.</t>
  </si>
  <si>
    <t xml:space="preserve">Requisitos no funcionales</t>
  </si>
  <si>
    <t xml:space="preserve">Un catálogo sin requisitos no funcionales no decidió arquitectura.</t>
  </si>
  <si>
    <t xml:space="preserve">No funcionales sin categoría declarada</t>
  </si>
  <si>
    <t xml:space="preserve">Debe ser cero.</t>
  </si>
  <si>
    <t xml:space="preserve">Requisitos «Must»</t>
  </si>
  <si>
    <t xml:space="preserve">Priorizar es nombrar lo que no se hará. Si casi todo es «Must», no se priorizó.</t>
  </si>
  <si>
    <t xml:space="preserve">Requisitos declarados dentro del MVP</t>
  </si>
  <si>
    <t xml:space="preserve">Debe coincidir con la cantidad de «Must».</t>
  </si>
  <si>
    <t xml:space="preserve">Coherencia entre «Must» y producto mínimo viable</t>
  </si>
  <si>
    <t xml:space="preserve">Si dice REVISAR, uno de los dos apartados está mal escrito: el catálogo o el V.5.</t>
  </si>
  <si>
    <t xml:space="preserve">Requisitos validados con el referente</t>
  </si>
  <si>
    <t xml:space="preserve">Un requisito redactado y no validado carece de valor probatorio.</t>
  </si>
  <si>
    <t xml:space="preserve">Filas del catálogo con campos faltantes</t>
  </si>
  <si>
    <t xml:space="preserve">Debe ser cero antes de exportar el PDF.</t>
  </si>
  <si>
    <t xml:space="preserve">Hallazgos de la AE1 registrados</t>
  </si>
  <si>
    <t xml:space="preserve">Todo hallazgo del Capítulo II que sostuvo el diagnóstico debería estar.</t>
  </si>
  <si>
    <t xml:space="preserve">Hallazgos sin requisito ni justificación</t>
  </si>
  <si>
    <t xml:space="preserve">Debe ser cero. El silencio no es una decisión.</t>
  </si>
  <si>
    <t xml:space="preserve">Entidades aceptadas en el modelo del dominio</t>
  </si>
  <si>
    <t xml:space="preserve">Cada una debe tener su fuente en la columna correspondiente.</t>
  </si>
  <si>
    <t xml:space="preserve">Candidatas evaluadas y reclasificadas</t>
  </si>
  <si>
    <t xml:space="preserve">Los descartes documentados son los que permiten defender la delimitación.</t>
  </si>
  <si>
    <t xml:space="preserve">Reglas de negocio registradas</t>
  </si>
  <si>
    <t xml:space="preserve">Mínimo exigido en el taller de la Clase 8: tres reglas enunciadas de modo verificable.</t>
  </si>
  <si>
    <t xml:space="preserve">Reglas todavía pendientes de validación</t>
  </si>
  <si>
    <t xml:space="preserve">Toda regla pendiente pasa a la guía de la sesión de validación.</t>
  </si>
  <si>
    <t xml:space="preserve">Términos del glosario en disputa</t>
  </si>
  <si>
    <t xml:space="preserve">Se resuelven con el referente y se cierran con una definición acordada.</t>
  </si>
  <si>
    <t xml:space="preserve">Horas asignadas a iteraciones</t>
  </si>
  <si>
    <t xml:space="preserve">Deben caber en el presupuesto efectivo de horas de la hoja Iteraciones.</t>
  </si>
  <si>
    <t xml:space="preserve">Coherencia entre recursos humanos y presupuesto de horas</t>
  </si>
  <si>
    <t xml:space="preserve">Las horas del Capítulo X y las del Capítulo V deben ser el mismo número.</t>
  </si>
  <si>
    <t xml:space="preserve">Condición material del cómputo</t>
  </si>
  <si>
    <t xml:space="preserve">Ninguna de estas cifras sustituye la comprobación del prototipo v1. La cátedra clona el repositorio en la etiqueta v1, sigue las instrucciones del archivo de lectura y ejecuta. Un esqueleto que no arranca, no compila o carece de instrucciones no se computa como entregado, con independencia de la calidad del documento que lo acompañe.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</si>
</sst>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6E"/>
      <name val="Arial"/>
      <family val="0"/>
      <charset val="1"/>
    </font>
    <font>
      <i val="true"/>
      <sz val="9"/>
      <color rgb="FF5A6A80"/>
      <name val="Arial"/>
      <family val="0"/>
      <charset val="1"/>
    </font>
    <font>
      <b val="true"/>
      <sz val="10"/>
      <color rgb="FF1F3A6E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7A6A2E"/>
      <name val="Arial"/>
      <family val="0"/>
      <charset val="1"/>
    </font>
    <font>
      <b val="true"/>
      <sz val="9"/>
      <color rgb="FF7A5C00"/>
      <name val="Arial"/>
      <family val="0"/>
      <charset val="1"/>
    </font>
    <font>
      <sz val="9"/>
      <color rgb="FF1C2430"/>
      <name val="Arial"/>
      <family val="0"/>
      <charset val="1"/>
    </font>
    <font>
      <sz val="10"/>
      <name val="Arial"/>
      <family val="2"/>
    </font>
    <font>
      <b val="true"/>
      <sz val="11"/>
      <color rgb="FF1F3A6E"/>
      <name val="Arial"/>
      <family val="0"/>
      <charset val="1"/>
    </font>
    <font>
      <sz val="9"/>
      <color rgb="FF7A5C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7A5C00"/>
      <name val="Arial"/>
      <family val="0"/>
      <charset val="1"/>
    </font>
    <font>
      <sz val="9"/>
      <color rgb="FF5A6A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5FA"/>
        <bgColor rgb="FFFDF4E2"/>
      </patternFill>
    </fill>
    <fill>
      <patternFill patternType="solid">
        <fgColor rgb="FFFDF4E2"/>
        <bgColor rgb="FFFFF6D6"/>
      </patternFill>
    </fill>
    <fill>
      <patternFill patternType="solid">
        <fgColor rgb="FFFFF6D6"/>
        <bgColor rgb="FFFDF4E2"/>
      </patternFill>
    </fill>
    <fill>
      <patternFill patternType="solid">
        <fgColor rgb="FF1F3A6E"/>
        <bgColor rgb="FF333399"/>
      </patternFill>
    </fill>
    <fill>
      <patternFill patternType="solid">
        <fgColor rgb="FFFBEAEA"/>
        <bgColor rgb="FFFDF4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4D6"/>
      </left>
      <right style="thin">
        <color rgb="FFB9C4D6"/>
      </right>
      <top style="thin">
        <color rgb="FFB9C4D6"/>
      </top>
      <bottom style="thin">
        <color rgb="FFB9C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A2E"/>
      <rgbColor rgb="FF800080"/>
      <rgbColor rgb="FF008080"/>
      <rgbColor rgb="FFB9C4D6"/>
      <rgbColor rgb="FF808080"/>
      <rgbColor rgb="FF9999FF"/>
      <rgbColor rgb="FF993366"/>
      <rgbColor rgb="FFFFF6D6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AEA"/>
      <rgbColor rgb="FFCCFFCC"/>
      <rgbColor rgb="FFFDF4E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80"/>
      <rgbColor rgb="FF969696"/>
      <rgbColor rgb="FF1F3A6E"/>
      <rgbColor rgb="FF339966"/>
      <rgbColor rgb="FF003300"/>
      <rgbColor rgb="FF333300"/>
      <rgbColor rgb="FF7A5C00"/>
      <rgbColor rgb="FF993366"/>
      <rgbColor rgb="FF333399"/>
      <rgbColor rgb="FF1C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6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57.75" hidden="false" customHeight="true" outlineLevel="0" collapsed="false">
      <c r="A4" s="3" t="s">
        <v>2</v>
      </c>
      <c r="B4" s="4" t="s">
        <v>3</v>
      </c>
    </row>
    <row r="5" customFormat="false" ht="57.75" hidden="false" customHeight="true" outlineLevel="0" collapsed="false">
      <c r="A5" s="5" t="s">
        <v>4</v>
      </c>
      <c r="B5" s="6" t="s">
        <v>5</v>
      </c>
    </row>
    <row r="6" customFormat="false" ht="57.75" hidden="false" customHeight="true" outlineLevel="0" collapsed="false">
      <c r="A6" s="3" t="s">
        <v>6</v>
      </c>
      <c r="B6" s="4" t="s">
        <v>7</v>
      </c>
    </row>
    <row r="7" customFormat="false" ht="57.75" hidden="false" customHeight="true" outlineLevel="0" collapsed="false">
      <c r="A7" s="5" t="s">
        <v>8</v>
      </c>
      <c r="B7" s="6" t="s">
        <v>9</v>
      </c>
    </row>
    <row r="8" customFormat="false" ht="57.75" hidden="false" customHeight="true" outlineLevel="0" collapsed="false">
      <c r="A8" s="3" t="s">
        <v>10</v>
      </c>
      <c r="B8" s="4" t="s">
        <v>11</v>
      </c>
    </row>
    <row r="9" customFormat="false" ht="57.75" hidden="false" customHeight="true" outlineLevel="0" collapsed="false">
      <c r="A9" s="5" t="s">
        <v>12</v>
      </c>
      <c r="B9" s="6" t="s">
        <v>13</v>
      </c>
    </row>
    <row r="10" customFormat="false" ht="57.75" hidden="false" customHeight="tru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7" t="s">
        <v>16</v>
      </c>
    </row>
    <row r="13" customFormat="false" ht="15" hidden="false" customHeight="false" outlineLevel="0" collapsed="false">
      <c r="A13" s="8" t="s">
        <v>17</v>
      </c>
      <c r="B13" s="9" t="s">
        <v>18</v>
      </c>
    </row>
    <row r="14" customFormat="false" ht="15" hidden="false" customHeight="false" outlineLevel="0" collapsed="false">
      <c r="A14" s="10" t="s">
        <v>19</v>
      </c>
      <c r="B14" s="9" t="s">
        <v>20</v>
      </c>
    </row>
    <row r="15" customFormat="false" ht="15" hidden="false" customHeight="false" outlineLevel="0" collapsed="false">
      <c r="A15" s="11" t="s">
        <v>21</v>
      </c>
      <c r="B15" s="9" t="s">
        <v>22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46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1" min="10" style="0" width="12"/>
    <col collapsed="false" customWidth="true" hidden="false" outlineLevel="0" max="12" min="12" style="0" width="20"/>
  </cols>
  <sheetData>
    <row r="1" customFormat="false" ht="19.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12" t="s">
        <v>25</v>
      </c>
      <c r="B4" s="12" t="s">
        <v>26</v>
      </c>
      <c r="C4" s="12" t="s">
        <v>27</v>
      </c>
      <c r="D4" s="12" t="s">
        <v>28</v>
      </c>
      <c r="E4" s="12" t="s">
        <v>29</v>
      </c>
      <c r="F4" s="12" t="s">
        <v>30</v>
      </c>
      <c r="G4" s="12" t="s">
        <v>31</v>
      </c>
      <c r="H4" s="12" t="s">
        <v>32</v>
      </c>
      <c r="I4" s="12" t="s">
        <v>33</v>
      </c>
      <c r="J4" s="12" t="s">
        <v>34</v>
      </c>
      <c r="K4" s="12" t="s">
        <v>35</v>
      </c>
      <c r="L4" s="12" t="s">
        <v>36</v>
      </c>
    </row>
    <row r="5" customFormat="false" ht="73.5" hidden="false" customHeight="true" outlineLevel="0" collapsed="false">
      <c r="A5" s="13" t="s">
        <v>37</v>
      </c>
      <c r="B5" s="13" t="s">
        <v>38</v>
      </c>
      <c r="C5" s="13" t="s">
        <v>39</v>
      </c>
      <c r="D5" s="13" t="s">
        <v>40</v>
      </c>
      <c r="E5" s="13" t="s">
        <v>41</v>
      </c>
      <c r="F5" s="13" t="s">
        <v>42</v>
      </c>
      <c r="G5" s="13" t="s">
        <v>43</v>
      </c>
      <c r="H5" s="13" t="s">
        <v>44</v>
      </c>
      <c r="I5" s="13" t="s">
        <v>45</v>
      </c>
      <c r="J5" s="13" t="s">
        <v>46</v>
      </c>
      <c r="K5" s="13" t="s">
        <v>47</v>
      </c>
      <c r="L5" s="14" t="str">
        <f aca="false">IF($A5="","",IF(COUNTBLANK($B5:$C5)+COUNTBLANK($E5:$H5)&gt;0,"Faltan campos",IF(AND($C5="No funcional",$D5=""),"Falta categoría",IF($K5="","Falta definir si integra el MVP","Fila completa"))))</f>
        <v>Fila completa</v>
      </c>
    </row>
    <row r="6" customFormat="false" ht="33.75" hidden="false" customHeight="tru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4" t="str">
        <f aca="false">IF($A6="","",IF(COUNTBLANK($B6:$C6)+COUNTBLANK($E6:$H6)&gt;0,"Faltan campos",IF(AND($C6="No funcional",$D6=""),"Falta categoría",IF($K6="","Falta definir si integra el MVP","Fila completa"))))</f>
        <v/>
      </c>
    </row>
    <row r="7" customFormat="false" ht="33.75" hidden="false" customHeight="true" outlineLevel="0" collapsed="false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4" t="str">
        <f aca="false">IF($A7="","",IF(COUNTBLANK($B7:$C7)+COUNTBLANK($E7:$H7)&gt;0,"Faltan campos",IF(AND($C7="No funcional",$D7=""),"Falta categoría",IF($K7="","Falta definir si integra el MVP","Fila completa"))))</f>
        <v/>
      </c>
    </row>
    <row r="8" customFormat="false" ht="33.75" hidden="false" customHeight="tru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4" t="str">
        <f aca="false">IF($A8="","",IF(COUNTBLANK($B8:$C8)+COUNTBLANK($E8:$H8)&gt;0,"Faltan campos",IF(AND($C8="No funcional",$D8=""),"Falta categoría",IF($K8="","Falta definir si integra el MVP","Fila completa"))))</f>
        <v/>
      </c>
    </row>
    <row r="9" customFormat="false" ht="33.75" hidden="false" customHeight="true" outlineLevel="0" collapsed="false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4" t="str">
        <f aca="false">IF($A9="","",IF(COUNTBLANK($B9:$C9)+COUNTBLANK($E9:$H9)&gt;0,"Faltan campos",IF(AND($C9="No funcional",$D9=""),"Falta categoría",IF($K9="","Falta definir si integra el MVP","Fila completa"))))</f>
        <v/>
      </c>
    </row>
    <row r="10" customFormat="false" ht="33.75" hidden="false" customHeight="tru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4" t="str">
        <f aca="false">IF($A10="","",IF(COUNTBLANK($B10:$C10)+COUNTBLANK($E10:$H10)&gt;0,"Faltan campos",IF(AND($C10="No funcional",$D10=""),"Falta categoría",IF($K10="","Falta definir si integra el MVP","Fila completa"))))</f>
        <v/>
      </c>
    </row>
    <row r="11" customFormat="false" ht="33.75" hidden="false" customHeight="true" outlineLevel="0" collapsed="false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4" t="str">
        <f aca="false">IF($A11="","",IF(COUNTBLANK($B11:$C11)+COUNTBLANK($E11:$H11)&gt;0,"Faltan campos",IF(AND($C11="No funcional",$D11=""),"Falta categoría",IF($K11="","Falta definir si integra el MVP","Fila completa"))))</f>
        <v/>
      </c>
    </row>
    <row r="12" customFormat="false" ht="33.75" hidden="false" customHeight="tru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4" t="str">
        <f aca="false">IF($A12="","",IF(COUNTBLANK($B12:$C12)+COUNTBLANK($E12:$H12)&gt;0,"Faltan campos",IF(AND($C12="No funcional",$D12=""),"Falta categoría",IF($K12="","Falta definir si integra el MVP","Fila completa"))))</f>
        <v/>
      </c>
    </row>
    <row r="13" customFormat="false" ht="33.75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4" t="str">
        <f aca="false">IF($A13="","",IF(COUNTBLANK($B13:$C13)+COUNTBLANK($E13:$H13)&gt;0,"Faltan campos",IF(AND($C13="No funcional",$D13=""),"Falta categoría",IF($K13="","Falta definir si integra el MVP","Fila completa"))))</f>
        <v/>
      </c>
    </row>
    <row r="14" customFormat="false" ht="33.75" hidden="false" customHeight="tru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4" t="str">
        <f aca="false">IF($A14="","",IF(COUNTBLANK($B14:$C14)+COUNTBLANK($E14:$H14)&gt;0,"Faltan campos",IF(AND($C14="No funcional",$D14=""),"Falta categoría",IF($K14="","Falta definir si integra el MVP","Fila completa"))))</f>
        <v/>
      </c>
    </row>
    <row r="15" customFormat="false" ht="33.75" hidden="false" customHeight="tru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4" t="str">
        <f aca="false">IF($A15="","",IF(COUNTBLANK($B15:$C15)+COUNTBLANK($E15:$H15)&gt;0,"Faltan campos",IF(AND($C15="No funcional",$D15=""),"Falta categoría",IF($K15="","Falta definir si integra el MVP","Fila completa"))))</f>
        <v/>
      </c>
    </row>
    <row r="16" customFormat="false" ht="33.75" hidden="false" customHeight="tru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4" t="str">
        <f aca="false">IF($A16="","",IF(COUNTBLANK($B16:$C16)+COUNTBLANK($E16:$H16)&gt;0,"Faltan campos",IF(AND($C16="No funcional",$D16=""),"Falta categoría",IF($K16="","Falta definir si integra el MVP","Fila completa"))))</f>
        <v/>
      </c>
    </row>
    <row r="17" customFormat="false" ht="33.75" hidden="false" customHeight="tru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4" t="str">
        <f aca="false">IF($A17="","",IF(COUNTBLANK($B17:$C17)+COUNTBLANK($E17:$H17)&gt;0,"Faltan campos",IF(AND($C17="No funcional",$D17=""),"Falta categoría",IF($K17="","Falta definir si integra el MVP","Fila completa"))))</f>
        <v/>
      </c>
    </row>
    <row r="18" customFormat="false" ht="33.75" hidden="false" customHeight="tru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4" t="str">
        <f aca="false">IF($A18="","",IF(COUNTBLANK($B18:$C18)+COUNTBLANK($E18:$H18)&gt;0,"Faltan campos",IF(AND($C18="No funcional",$D18=""),"Falta categoría",IF($K18="","Falta definir si integra el MVP","Fila completa"))))</f>
        <v/>
      </c>
    </row>
    <row r="19" customFormat="false" ht="33.75" hidden="false" customHeight="tru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4" t="str">
        <f aca="false">IF($A19="","",IF(COUNTBLANK($B19:$C19)+COUNTBLANK($E19:$H19)&gt;0,"Faltan campos",IF(AND($C19="No funcional",$D19=""),"Falta categoría",IF($K19="","Falta definir si integra el MVP","Fila completa"))))</f>
        <v/>
      </c>
    </row>
    <row r="20" customFormat="false" ht="33.75" hidden="false" customHeight="tru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4" t="str">
        <f aca="false">IF($A20="","",IF(COUNTBLANK($B20:$C20)+COUNTBLANK($E20:$H20)&gt;0,"Faltan campos",IF(AND($C20="No funcional",$D20=""),"Falta categoría",IF($K20="","Falta definir si integra el MVP","Fila completa"))))</f>
        <v/>
      </c>
    </row>
    <row r="21" customFormat="false" ht="33.75" hidden="false" customHeight="tru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4" t="str">
        <f aca="false">IF($A21="","",IF(COUNTBLANK($B21:$C21)+COUNTBLANK($E21:$H21)&gt;0,"Faltan campos",IF(AND($C21="No funcional",$D21=""),"Falta categoría",IF($K21="","Falta definir si integra el MVP","Fila completa"))))</f>
        <v/>
      </c>
    </row>
    <row r="22" customFormat="false" ht="33.75" hidden="false" customHeight="tru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4" t="str">
        <f aca="false">IF($A22="","",IF(COUNTBLANK($B22:$C22)+COUNTBLANK($E22:$H22)&gt;0,"Faltan campos",IF(AND($C22="No funcional",$D22=""),"Falta categoría",IF($K22="","Falta definir si integra el MVP","Fila completa"))))</f>
        <v/>
      </c>
    </row>
    <row r="23" customFormat="false" ht="33.75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4" t="str">
        <f aca="false">IF($A23="","",IF(COUNTBLANK($B23:$C23)+COUNTBLANK($E23:$H23)&gt;0,"Faltan campos",IF(AND($C23="No funcional",$D23=""),"Falta categoría",IF($K23="","Falta definir si integra el MVP","Fila completa"))))</f>
        <v/>
      </c>
    </row>
    <row r="24" customFormat="false" ht="33.75" hidden="false" customHeight="tru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4" t="str">
        <f aca="false">IF($A24="","",IF(COUNTBLANK($B24:$C24)+COUNTBLANK($E24:$H24)&gt;0,"Faltan campos",IF(AND($C24="No funcional",$D24=""),"Falta categoría",IF($K24="","Falta definir si integra el MVP","Fila completa"))))</f>
        <v/>
      </c>
    </row>
    <row r="25" customFormat="false" ht="33.75" hidden="false" customHeight="tru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4" t="str">
        <f aca="false">IF($A25="","",IF(COUNTBLANK($B25:$C25)+COUNTBLANK($E25:$H25)&gt;0,"Faltan campos",IF(AND($C25="No funcional",$D25=""),"Falta categoría",IF($K25="","Falta definir si integra el MVP","Fila completa"))))</f>
        <v/>
      </c>
    </row>
    <row r="26" customFormat="false" ht="33.75" hidden="false" customHeight="tru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4" t="str">
        <f aca="false">IF($A26="","",IF(COUNTBLANK($B26:$C26)+COUNTBLANK($E26:$H26)&gt;0,"Faltan campos",IF(AND($C26="No funcional",$D26=""),"Falta categoría",IF($K26="","Falta definir si integra el MVP","Fila completa"))))</f>
        <v/>
      </c>
    </row>
    <row r="27" customFormat="false" ht="33.75" hidden="false" customHeight="tru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4" t="str">
        <f aca="false">IF($A27="","",IF(COUNTBLANK($B27:$C27)+COUNTBLANK($E27:$H27)&gt;0,"Faltan campos",IF(AND($C27="No funcional",$D27=""),"Falta categoría",IF($K27="","Falta definir si integra el MVP","Fila completa"))))</f>
        <v/>
      </c>
    </row>
    <row r="28" customFormat="false" ht="33.75" hidden="false" customHeight="tru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4" t="str">
        <f aca="false">IF($A28="","",IF(COUNTBLANK($B28:$C28)+COUNTBLANK($E28:$H28)&gt;0,"Faltan campos",IF(AND($C28="No funcional",$D28=""),"Falta categoría",IF($K28="","Falta definir si integra el MVP","Fila completa"))))</f>
        <v/>
      </c>
    </row>
    <row r="29" customFormat="false" ht="33.75" hidden="false" customHeight="tru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4" t="str">
        <f aca="false">IF($A29="","",IF(COUNTBLANK($B29:$C29)+COUNTBLANK($E29:$H29)&gt;0,"Faltan campos",IF(AND($C29="No funcional",$D29=""),"Falta categoría",IF($K29="","Falta definir si integra el MVP","Fila completa"))))</f>
        <v/>
      </c>
    </row>
    <row r="30" customFormat="false" ht="33.75" hidden="false" customHeight="tru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4" t="str">
        <f aca="false">IF($A30="","",IF(COUNTBLANK($B30:$C30)+COUNTBLANK($E30:$H30)&gt;0,"Faltan campos",IF(AND($C30="No funcional",$D30=""),"Falta categoría",IF($K30="","Falta definir si integra el MVP","Fila completa"))))</f>
        <v/>
      </c>
    </row>
    <row r="31" customFormat="false" ht="33.75" hidden="false" customHeight="true" outlineLevel="0" collapsed="false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4" t="str">
        <f aca="false">IF($A31="","",IF(COUNTBLANK($B31:$C31)+COUNTBLANK($E31:$H31)&gt;0,"Faltan campos",IF(AND($C31="No funcional",$D31=""),"Falta categoría",IF($K31="","Falta definir si integra el MVP","Fila completa"))))</f>
        <v/>
      </c>
    </row>
    <row r="32" customFormat="false" ht="33.75" hidden="false" customHeight="tru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4" t="str">
        <f aca="false">IF($A32="","",IF(COUNTBLANK($B32:$C32)+COUNTBLANK($E32:$H32)&gt;0,"Faltan campos",IF(AND($C32="No funcional",$D32=""),"Falta categoría",IF($K32="","Falta definir si integra el MVP","Fila completa"))))</f>
        <v/>
      </c>
    </row>
    <row r="33" customFormat="false" ht="33.75" hidden="false" customHeight="true" outlineLevel="0" collapsed="false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4" t="str">
        <f aca="false">IF($A33="","",IF(COUNTBLANK($B33:$C33)+COUNTBLANK($E33:$H33)&gt;0,"Faltan campos",IF(AND($C33="No funcional",$D33=""),"Falta categoría",IF($K33="","Falta definir si integra el MVP","Fila completa"))))</f>
        <v/>
      </c>
    </row>
    <row r="34" customFormat="false" ht="33.75" hidden="false" customHeight="tru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4" t="str">
        <f aca="false">IF($A34="","",IF(COUNTBLANK($B34:$C34)+COUNTBLANK($E34:$H34)&gt;0,"Faltan campos",IF(AND($C34="No funcional",$D34=""),"Falta categoría",IF($K34="","Falta definir si integra el MVP","Fila completa"))))</f>
        <v/>
      </c>
    </row>
    <row r="35" customFormat="false" ht="33.75" hidden="false" customHeight="true" outlineLevel="0" collapsed="false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4" t="str">
        <f aca="false">IF($A35="","",IF(COUNTBLANK($B35:$C35)+COUNTBLANK($E35:$H35)&gt;0,"Faltan campos",IF(AND($C35="No funcional",$D35=""),"Falta categoría",IF($K35="","Falta definir si integra el MVP","Fila completa"))))</f>
        <v/>
      </c>
    </row>
    <row r="36" customFormat="false" ht="33.75" hidden="false" customHeight="tru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4" t="str">
        <f aca="false">IF($A36="","",IF(COUNTBLANK($B36:$C36)+COUNTBLANK($E36:$H36)&gt;0,"Faltan campos",IF(AND($C36="No funcional",$D36=""),"Falta categoría",IF($K36="","Falta definir si integra el MVP","Fila completa"))))</f>
        <v/>
      </c>
    </row>
    <row r="37" customFormat="false" ht="33.75" hidden="false" customHeight="true" outlineLevel="0" collapsed="false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4" t="str">
        <f aca="false">IF($A37="","",IF(COUNTBLANK($B37:$C37)+COUNTBLANK($E37:$H37)&gt;0,"Faltan campos",IF(AND($C37="No funcional",$D37=""),"Falta categoría",IF($K37="","Falta definir si integra el MVP","Fila completa"))))</f>
        <v/>
      </c>
    </row>
    <row r="38" customFormat="false" ht="33.75" hidden="false" customHeight="tru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4" t="str">
        <f aca="false">IF($A38="","",IF(COUNTBLANK($B38:$C38)+COUNTBLANK($E38:$H38)&gt;0,"Faltan campos",IF(AND($C38="No funcional",$D38=""),"Falta categoría",IF($K38="","Falta definir si integra el MVP","Fila completa"))))</f>
        <v/>
      </c>
    </row>
    <row r="39" customFormat="false" ht="33.75" hidden="false" customHeight="true" outlineLevel="0" collapsed="false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4" t="str">
        <f aca="false">IF($A39="","",IF(COUNTBLANK($B39:$C39)+COUNTBLANK($E39:$H39)&gt;0,"Faltan campos",IF(AND($C39="No funcional",$D39=""),"Falta categoría",IF($K39="","Falta definir si integra el MVP","Fila completa"))))</f>
        <v/>
      </c>
    </row>
    <row r="40" customFormat="false" ht="33.75" hidden="false" customHeight="tru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4" t="str">
        <f aca="false">IF($A40="","",IF(COUNTBLANK($B40:$C40)+COUNTBLANK($E40:$H40)&gt;0,"Faltan campos",IF(AND($C40="No funcional",$D40=""),"Falta categoría",IF($K40="","Falta definir si integra el MVP","Fila completa"))))</f>
        <v/>
      </c>
    </row>
    <row r="41" customFormat="false" ht="33.75" hidden="false" customHeight="true" outlineLevel="0" collapsed="false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4" t="str">
        <f aca="false">IF($A41="","",IF(COUNTBLANK($B41:$C41)+COUNTBLANK($E41:$H41)&gt;0,"Faltan campos",IF(AND($C41="No funcional",$D41=""),"Falta categoría",IF($K41="","Falta definir si integra el MVP","Fila completa"))))</f>
        <v/>
      </c>
    </row>
    <row r="42" customFormat="false" ht="33.75" hidden="false" customHeight="tru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4" t="str">
        <f aca="false">IF($A42="","",IF(COUNTBLANK($B42:$C42)+COUNTBLANK($E42:$H42)&gt;0,"Faltan campos",IF(AND($C42="No funcional",$D42=""),"Falta categoría",IF($K42="","Falta definir si integra el MVP","Fila completa"))))</f>
        <v/>
      </c>
    </row>
    <row r="43" customFormat="false" ht="33.75" hidden="false" customHeight="true" outlineLevel="0" collapsed="false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4" t="str">
        <f aca="false">IF($A43="","",IF(COUNTBLANK($B43:$C43)+COUNTBLANK($E43:$H43)&gt;0,"Faltan campos",IF(AND($C43="No funcional",$D43=""),"Falta categoría",IF($K43="","Falta definir si integra el MVP","Fila completa"))))</f>
        <v/>
      </c>
    </row>
    <row r="44" customFormat="false" ht="33.75" hidden="false" customHeight="tru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4" t="str">
        <f aca="false">IF($A44="","",IF(COUNTBLANK($B44:$C44)+COUNTBLANK($E44:$H44)&gt;0,"Faltan campos",IF(AND($C44="No funcional",$D44=""),"Falta categoría",IF($K44="","Falta definir si integra el MVP","Fila completa"))))</f>
        <v/>
      </c>
    </row>
    <row r="45" customFormat="false" ht="33.75" hidden="false" customHeight="true" outlineLevel="0" collapsed="false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4" t="str">
        <f aca="false">IF($A45="","",IF(COUNTBLANK($B45:$C45)+COUNTBLANK($E45:$H45)&gt;0,"Faltan campos",IF(AND($C45="No funcional",$D45=""),"Falta categoría",IF($K45="","Falta definir si integra el MVP","Fila completa"))))</f>
        <v/>
      </c>
    </row>
    <row r="46" customFormat="false" ht="33.75" hidden="false" customHeight="tru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4" t="str">
        <f aca="false">IF($A46="","",IF(COUNTBLANK($B46:$C46)+COUNTBLANK($E46:$H46)&gt;0,"Faltan campos",IF(AND($C46="No funcional",$D46=""),"Falta categoría",IF($K46="","Falta definir si integra el MVP","Fila completa"))))</f>
        <v/>
      </c>
    </row>
    <row r="47" customFormat="false" ht="33.75" hidden="false" customHeight="tru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4" t="str">
        <f aca="false">IF($A47="","",IF(COUNTBLANK($B47:$C47)+COUNTBLANK($E47:$H47)&gt;0,"Faltan campos",IF(AND($C47="No funcional",$D47=""),"Falta categoría",IF($K47="","Falta definir si integra el MVP","Fila completa"))))</f>
        <v/>
      </c>
    </row>
    <row r="48" customFormat="false" ht="33.75" hidden="false" customHeight="tru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4" t="str">
        <f aca="false">IF($A48="","",IF(COUNTBLANK($B48:$C48)+COUNTBLANK($E48:$H48)&gt;0,"Faltan campos",IF(AND($C48="No funcional",$D48=""),"Falta categoría",IF($K48="","Falta definir si integra el MVP","Fila completa"))))</f>
        <v/>
      </c>
    </row>
    <row r="49" customFormat="false" ht="33.75" hidden="false" customHeight="true" outlineLevel="0" collapsed="false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4" t="str">
        <f aca="false">IF($A49="","",IF(COUNTBLANK($B49:$C49)+COUNTBLANK($E49:$H49)&gt;0,"Faltan campos",IF(AND($C49="No funcional",$D49=""),"Falta categoría",IF($K49="","Falta definir si integra el MVP","Fila completa"))))</f>
        <v/>
      </c>
    </row>
    <row r="50" customFormat="false" ht="33.75" hidden="false" customHeight="tru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4" t="str">
        <f aca="false">IF($A50="","",IF(COUNTBLANK($B50:$C50)+COUNTBLANK($E50:$H50)&gt;0,"Faltan campos",IF(AND($C50="No funcional",$D50=""),"Falta categoría",IF($K50="","Falta definir si integra el MVP","Fila completa"))))</f>
        <v/>
      </c>
    </row>
    <row r="51" customFormat="false" ht="33.75" hidden="false" customHeight="true" outlineLevel="0" collapsed="false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4" t="str">
        <f aca="false">IF($A51="","",IF(COUNTBLANK($B51:$C51)+COUNTBLANK($E51:$H51)&gt;0,"Faltan campos",IF(AND($C51="No funcional",$D51=""),"Falta categoría",IF($K51="","Falta definir si integra el MVP","Fila completa"))))</f>
        <v/>
      </c>
    </row>
    <row r="52" customFormat="false" ht="33.75" hidden="false" customHeight="tru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4" t="str">
        <f aca="false">IF($A52="","",IF(COUNTBLANK($B52:$C52)+COUNTBLANK($E52:$H52)&gt;0,"Faltan campos",IF(AND($C52="No funcional",$D52=""),"Falta categoría",IF($K52="","Falta definir si integra el MVP","Fila completa"))))</f>
        <v/>
      </c>
    </row>
    <row r="53" customFormat="false" ht="33.75" hidden="false" customHeight="true" outlineLevel="0" collapsed="false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4" t="str">
        <f aca="false">IF($A53="","",IF(COUNTBLANK($B53:$C53)+COUNTBLANK($E53:$H53)&gt;0,"Faltan campos",IF(AND($C53="No funcional",$D53=""),"Falta categoría",IF($K53="","Falta definir si integra el MVP","Fila completa"))))</f>
        <v/>
      </c>
    </row>
    <row r="54" customFormat="false" ht="33.75" hidden="false" customHeight="tru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4" t="str">
        <f aca="false">IF($A54="","",IF(COUNTBLANK($B54:$C54)+COUNTBLANK($E54:$H54)&gt;0,"Faltan campos",IF(AND($C54="No funcional",$D54=""),"Falta categoría",IF($K54="","Falta definir si integra el MVP","Fila completa"))))</f>
        <v/>
      </c>
    </row>
    <row r="55" customFormat="false" ht="33.75" hidden="false" customHeight="true" outlineLevel="0" collapsed="false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4" t="str">
        <f aca="false">IF($A55="","",IF(COUNTBLANK($B55:$C55)+COUNTBLANK($E55:$H55)&gt;0,"Faltan campos",IF(AND($C55="No funcional",$D55=""),"Falta categoría",IF($K55="","Falta definir si integra el MVP","Fila completa"))))</f>
        <v/>
      </c>
    </row>
    <row r="56" customFormat="false" ht="33.75" hidden="false" customHeight="tru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4" t="str">
        <f aca="false">IF($A56="","",IF(COUNTBLANK($B56:$C56)+COUNTBLANK($E56:$H56)&gt;0,"Faltan campos",IF(AND($C56="No funcional",$D56=""),"Falta categoría",IF($K56="","Falta definir si integra el MVP","Fila completa"))))</f>
        <v/>
      </c>
    </row>
    <row r="57" customFormat="false" ht="33.75" hidden="false" customHeight="true" outlineLevel="0" collapsed="false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4" t="str">
        <f aca="false">IF($A57="","",IF(COUNTBLANK($B57:$C57)+COUNTBLANK($E57:$H57)&gt;0,"Faltan campos",IF(AND($C57="No funcional",$D57=""),"Falta categoría",IF($K57="","Falta definir si integra el MVP","Fila completa"))))</f>
        <v/>
      </c>
    </row>
    <row r="58" customFormat="false" ht="33.75" hidden="false" customHeight="tru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4" t="str">
        <f aca="false">IF($A58="","",IF(COUNTBLANK($B58:$C58)+COUNTBLANK($E58:$H58)&gt;0,"Faltan campos",IF(AND($C58="No funcional",$D58=""),"Falta categoría",IF($K58="","Falta definir si integra el MVP","Fila completa"))))</f>
        <v/>
      </c>
    </row>
    <row r="59" customFormat="false" ht="33.75" hidden="false" customHeight="true" outlineLevel="0" collapsed="false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4" t="str">
        <f aca="false">IF($A59="","",IF(COUNTBLANK($B59:$C59)+COUNTBLANK($E59:$H59)&gt;0,"Faltan campos",IF(AND($C59="No funcional",$D59=""),"Falta categoría",IF($K59="","Falta definir si integra el MVP","Fila completa"))))</f>
        <v/>
      </c>
    </row>
    <row r="60" customFormat="false" ht="33.75" hidden="false" customHeight="tru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4" t="str">
        <f aca="false">IF($A60="","",IF(COUNTBLANK($B60:$C60)+COUNTBLANK($E60:$H60)&gt;0,"Faltan campos",IF(AND($C60="No funcional",$D60=""),"Falta categoría",IF($K60="","Falta definir si integra el MVP","Fila completa"))))</f>
        <v/>
      </c>
    </row>
    <row r="61" customFormat="false" ht="33.75" hidden="false" customHeight="true" outlineLevel="0" collapsed="false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4" t="str">
        <f aca="false">IF($A61="","",IF(COUNTBLANK($B61:$C61)+COUNTBLANK($E61:$H61)&gt;0,"Faltan campos",IF(AND($C61="No funcional",$D61=""),"Falta categoría",IF($K61="","Falta definir si integra el MVP","Fila completa"))))</f>
        <v/>
      </c>
    </row>
    <row r="62" customFormat="false" ht="33.75" hidden="false" customHeight="tru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4" t="str">
        <f aca="false">IF($A62="","",IF(COUNTBLANK($B62:$C62)+COUNTBLANK($E62:$H62)&gt;0,"Faltan campos",IF(AND($C62="No funcional",$D62=""),"Falta categoría",IF($K62="","Falta definir si integra el MVP","Fila completa"))))</f>
        <v/>
      </c>
    </row>
    <row r="63" customFormat="false" ht="33.75" hidden="false" customHeight="true" outlineLevel="0" collapsed="false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4" t="str">
        <f aca="false">IF($A63="","",IF(COUNTBLANK($B63:$C63)+COUNTBLANK($E63:$H63)&gt;0,"Faltan campos",IF(AND($C63="No funcional",$D63=""),"Falta categoría",IF($K63="","Falta definir si integra el MVP","Fila completa"))))</f>
        <v/>
      </c>
    </row>
    <row r="64" customFormat="false" ht="33.75" hidden="false" customHeight="tru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4" t="str">
        <f aca="false">IF($A64="","",IF(COUNTBLANK($B64:$C64)+COUNTBLANK($E64:$H64)&gt;0,"Faltan campos",IF(AND($C64="No funcional",$D64=""),"Falta categoría",IF($K64="","Falta definir si integra el MVP","Fila completa"))))</f>
        <v/>
      </c>
    </row>
    <row r="65" customFormat="false" ht="33.75" hidden="false" customHeight="true" outlineLevel="0" collapsed="false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4" t="str">
        <f aca="false">IF($A65="","",IF(COUNTBLANK($B65:$C65)+COUNTBLANK($E65:$H65)&gt;0,"Faltan campos",IF(AND($C65="No funcional",$D65=""),"Falta categoría",IF($K65="","Falta definir si integra el MVP","Fila completa"))))</f>
        <v/>
      </c>
    </row>
    <row r="66" customFormat="false" ht="33.75" hidden="false" customHeight="tru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4" t="str">
        <f aca="false">IF($A66="","",IF(COUNTBLANK($B66:$C66)+COUNTBLANK($E66:$H66)&gt;0,"Faltan campos",IF(AND($C66="No funcional",$D66=""),"Falta categoría",IF($K66="","Falta definir si integra el MVP","Fila completa"))))</f>
        <v/>
      </c>
    </row>
    <row r="67" customFormat="false" ht="33.75" hidden="false" customHeight="true" outlineLevel="0" collapsed="false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4" t="str">
        <f aca="false">IF($A67="","",IF(COUNTBLANK($B67:$C67)+COUNTBLANK($E67:$H67)&gt;0,"Faltan campos",IF(AND($C67="No funcional",$D67=""),"Falta categoría",IF($K67="","Falta definir si integra el MVP","Fila completa"))))</f>
        <v/>
      </c>
    </row>
    <row r="68" customFormat="false" ht="33.75" hidden="false" customHeight="tru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4" t="str">
        <f aca="false">IF($A68="","",IF(COUNTBLANK($B68:$C68)+COUNTBLANK($E68:$H68)&gt;0,"Faltan campos",IF(AND($C68="No funcional",$D68=""),"Falta categoría",IF($K68="","Falta definir si integra el MVP","Fila completa"))))</f>
        <v/>
      </c>
    </row>
    <row r="69" customFormat="false" ht="33.75" hidden="false" customHeight="true" outlineLevel="0" collapsed="false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4" t="str">
        <f aca="false">IF($A69="","",IF(COUNTBLANK($B69:$C69)+COUNTBLANK($E69:$H69)&gt;0,"Faltan campos",IF(AND($C69="No funcional",$D69=""),"Falta categoría",IF($K69="","Falta definir si integra el MVP","Fila completa"))))</f>
        <v/>
      </c>
    </row>
    <row r="70" customFormat="false" ht="33.75" hidden="false" customHeight="tru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4" t="str">
        <f aca="false">IF($A70="","",IF(COUNTBLANK($B70:$C70)+COUNTBLANK($E70:$H70)&gt;0,"Faltan campos",IF(AND($C70="No funcional",$D70=""),"Falta categoría",IF($K70="","Falta definir si integra el MVP","Fila completa"))))</f>
        <v/>
      </c>
    </row>
    <row r="71" customFormat="false" ht="33.75" hidden="false" customHeight="true" outlineLevel="0" collapsed="false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4" t="str">
        <f aca="false">IF($A71="","",IF(COUNTBLANK($B71:$C71)+COUNTBLANK($E71:$H71)&gt;0,"Faltan campos",IF(AND($C71="No funcional",$D71=""),"Falta categoría",IF($K71="","Falta definir si integra el MVP","Fila completa"))))</f>
        <v/>
      </c>
    </row>
    <row r="72" customFormat="false" ht="33.75" hidden="false" customHeight="tru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4" t="str">
        <f aca="false">IF($A72="","",IF(COUNTBLANK($B72:$C72)+COUNTBLANK($E72:$H72)&gt;0,"Faltan campos",IF(AND($C72="No funcional",$D72=""),"Falta categoría",IF($K72="","Falta definir si integra el MVP","Fila completa"))))</f>
        <v/>
      </c>
    </row>
    <row r="73" customFormat="false" ht="33.75" hidden="false" customHeight="true" outlineLevel="0" collapsed="false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4" t="str">
        <f aca="false">IF($A73="","",IF(COUNTBLANK($B73:$C73)+COUNTBLANK($E73:$H73)&gt;0,"Faltan campos",IF(AND($C73="No funcional",$D73=""),"Falta categoría",IF($K73="","Falta definir si integra el MVP","Fila completa"))))</f>
        <v/>
      </c>
    </row>
    <row r="74" customFormat="false" ht="33.75" hidden="false" customHeight="tru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4" t="str">
        <f aca="false">IF($A74="","",IF(COUNTBLANK($B74:$C74)+COUNTBLANK($E74:$H74)&gt;0,"Faltan campos",IF(AND($C74="No funcional",$D74=""),"Falta categoría",IF($K74="","Falta definir si integra el MVP","Fila completa"))))</f>
        <v/>
      </c>
    </row>
    <row r="75" customFormat="false" ht="33.75" hidden="false" customHeight="true" outlineLevel="0" collapsed="false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4" t="str">
        <f aca="false">IF($A75="","",IF(COUNTBLANK($B75:$C75)+COUNTBLANK($E75:$H75)&gt;0,"Faltan campos",IF(AND($C75="No funcional",$D75=""),"Falta categoría",IF($K75="","Falta definir si integra el MVP","Fila completa"))))</f>
        <v/>
      </c>
    </row>
    <row r="76" customFormat="false" ht="33.75" hidden="false" customHeight="tru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4" t="str">
        <f aca="false">IF($A76="","",IF(COUNTBLANK($B76:$C76)+COUNTBLANK($E76:$H76)&gt;0,"Faltan campos",IF(AND($C76="No funcional",$D76=""),"Falta categoría",IF($K76="","Falta definir si integra el MVP","Fila completa"))))</f>
        <v/>
      </c>
    </row>
    <row r="77" customFormat="false" ht="33.75" hidden="false" customHeight="true" outlineLevel="0" collapsed="false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4" t="str">
        <f aca="false">IF($A77="","",IF(COUNTBLANK($B77:$C77)+COUNTBLANK($E77:$H77)&gt;0,"Faltan campos",IF(AND($C77="No funcional",$D77=""),"Falta categoría",IF($K77="","Falta definir si integra el MVP","Fila completa"))))</f>
        <v/>
      </c>
    </row>
    <row r="78" customFormat="false" ht="33.75" hidden="false" customHeight="tru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4" t="str">
        <f aca="false">IF($A78="","",IF(COUNTBLANK($B78:$C78)+COUNTBLANK($E78:$H78)&gt;0,"Faltan campos",IF(AND($C78="No funcional",$D78=""),"Falta categoría",IF($K78="","Falta definir si integra el MVP","Fila completa"))))</f>
        <v/>
      </c>
    </row>
    <row r="79" customFormat="false" ht="33.75" hidden="false" customHeight="true" outlineLevel="0" collapsed="false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4" t="str">
        <f aca="false">IF($A79="","",IF(COUNTBLANK($B79:$C79)+COUNTBLANK($E79:$H79)&gt;0,"Faltan campos",IF(AND($C79="No funcional",$D79=""),"Falta categoría",IF($K79="","Falta definir si integra el MVP","Fila completa"))))</f>
        <v/>
      </c>
    </row>
    <row r="80" customFormat="false" ht="33.75" hidden="false" customHeight="tru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4" t="str">
        <f aca="false">IF($A80="","",IF(COUNTBLANK($B80:$C80)+COUNTBLANK($E80:$H80)&gt;0,"Faltan campos",IF(AND($C80="No funcional",$D80=""),"Falta categoría",IF($K80="","Falta definir si integra el MVP","Fila completa"))))</f>
        <v/>
      </c>
    </row>
    <row r="81" customFormat="false" ht="33.75" hidden="false" customHeight="true" outlineLevel="0" collapsed="false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4" t="str">
        <f aca="false">IF($A81="","",IF(COUNTBLANK($B81:$C81)+COUNTBLANK($E81:$H81)&gt;0,"Faltan campos",IF(AND($C81="No funcional",$D81=""),"Falta categoría",IF($K81="","Falta definir si integra el MVP","Fila completa"))))</f>
        <v/>
      </c>
    </row>
    <row r="82" customFormat="false" ht="33.75" hidden="false" customHeight="tru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4" t="str">
        <f aca="false">IF($A82="","",IF(COUNTBLANK($B82:$C82)+COUNTBLANK($E82:$H82)&gt;0,"Faltan campos",IF(AND($C82="No funcional",$D82=""),"Falta categoría",IF($K82="","Falta definir si integra el MVP","Fila completa"))))</f>
        <v/>
      </c>
    </row>
    <row r="83" customFormat="false" ht="33.75" hidden="false" customHeight="true" outlineLevel="0" collapsed="false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4" t="str">
        <f aca="false">IF($A83="","",IF(COUNTBLANK($B83:$C83)+COUNTBLANK($E83:$H83)&gt;0,"Faltan campos",IF(AND($C83="No funcional",$D83=""),"Falta categoría",IF($K83="","Falta definir si integra el MVP","Fila completa"))))</f>
        <v/>
      </c>
    </row>
    <row r="84" customFormat="false" ht="33.75" hidden="false" customHeight="tru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4" t="str">
        <f aca="false">IF($A84="","",IF(COUNTBLANK($B84:$C84)+COUNTBLANK($E84:$H84)&gt;0,"Faltan campos",IF(AND($C84="No funcional",$D84=""),"Falta categoría",IF($K84="","Falta definir si integra el MVP","Fila completa"))))</f>
        <v/>
      </c>
    </row>
    <row r="85" customFormat="false" ht="33.75" hidden="false" customHeight="true" outlineLevel="0" collapsed="false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4" t="str">
        <f aca="false">IF($A85="","",IF(COUNTBLANK($B85:$C85)+COUNTBLANK($E85:$H85)&gt;0,"Faltan campos",IF(AND($C85="No funcional",$D85=""),"Falta categoría",IF($K85="","Falta definir si integra el MVP","Fila completa"))))</f>
        <v/>
      </c>
    </row>
    <row r="86" customFormat="false" ht="33.75" hidden="false" customHeight="tru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4" t="str">
        <f aca="false">IF($A86="","",IF(COUNTBLANK($B86:$C86)+COUNTBLANK($E86:$H86)&gt;0,"Faltan campos",IF(AND($C86="No funcional",$D86=""),"Falta categoría",IF($K86="","Falta definir si integra el MVP","Fila completa"))))</f>
        <v/>
      </c>
    </row>
    <row r="87" customFormat="false" ht="33.75" hidden="false" customHeight="true" outlineLevel="0" collapsed="false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4" t="str">
        <f aca="false">IF($A87="","",IF(COUNTBLANK($B87:$C87)+COUNTBLANK($E87:$H87)&gt;0,"Faltan campos",IF(AND($C87="No funcional",$D87=""),"Falta categoría",IF($K87="","Falta definir si integra el MVP","Fila completa"))))</f>
        <v/>
      </c>
    </row>
    <row r="88" customFormat="false" ht="33.75" hidden="false" customHeight="tru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4" t="str">
        <f aca="false">IF($A88="","",IF(COUNTBLANK($B88:$C88)+COUNTBLANK($E88:$H88)&gt;0,"Faltan campos",IF(AND($C88="No funcional",$D88=""),"Falta categoría",IF($K88="","Falta definir si integra el MVP","Fila completa"))))</f>
        <v/>
      </c>
    </row>
    <row r="89" customFormat="false" ht="33.75" hidden="false" customHeight="true" outlineLevel="0" collapsed="false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4" t="str">
        <f aca="false">IF($A89="","",IF(COUNTBLANK($B89:$C89)+COUNTBLANK($E89:$H89)&gt;0,"Faltan campos",IF(AND($C89="No funcional",$D89=""),"Falta categoría",IF($K89="","Falta definir si integra el MVP","Fila completa"))))</f>
        <v/>
      </c>
    </row>
    <row r="90" customFormat="false" ht="33.75" hidden="false" customHeight="tru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4" t="str">
        <f aca="false">IF($A90="","",IF(COUNTBLANK($B90:$C90)+COUNTBLANK($E90:$H90)&gt;0,"Faltan campos",IF(AND($C90="No funcional",$D90=""),"Falta categoría",IF($K90="","Falta definir si integra el MVP","Fila completa"))))</f>
        <v/>
      </c>
    </row>
    <row r="91" customFormat="false" ht="33.75" hidden="false" customHeight="true" outlineLevel="0" collapsed="false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4" t="str">
        <f aca="false">IF($A91="","",IF(COUNTBLANK($B91:$C91)+COUNTBLANK($E91:$H91)&gt;0,"Faltan campos",IF(AND($C91="No funcional",$D91=""),"Falta categoría",IF($K91="","Falta definir si integra el MVP","Fila completa"))))</f>
        <v/>
      </c>
    </row>
    <row r="92" customFormat="false" ht="33.75" hidden="false" customHeight="tru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4" t="str">
        <f aca="false">IF($A92="","",IF(COUNTBLANK($B92:$C92)+COUNTBLANK($E92:$H92)&gt;0,"Faltan campos",IF(AND($C92="No funcional",$D92=""),"Falta categoría",IF($K92="","Falta definir si integra el MVP","Fila completa"))))</f>
        <v/>
      </c>
    </row>
    <row r="93" customFormat="false" ht="33.75" hidden="false" customHeight="true" outlineLevel="0" collapsed="false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4" t="str">
        <f aca="false">IF($A93="","",IF(COUNTBLANK($B93:$C93)+COUNTBLANK($E93:$H93)&gt;0,"Faltan campos",IF(AND($C93="No funcional",$D93=""),"Falta categoría",IF($K93="","Falta definir si integra el MVP","Fila completa"))))</f>
        <v/>
      </c>
    </row>
    <row r="94" customFormat="false" ht="33.75" hidden="false" customHeight="tru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4" t="str">
        <f aca="false">IF($A94="","",IF(COUNTBLANK($B94:$C94)+COUNTBLANK($E94:$H94)&gt;0,"Faltan campos",IF(AND($C94="No funcional",$D94=""),"Falta categoría",IF($K94="","Falta definir si integra el MVP","Fila completa"))))</f>
        <v/>
      </c>
    </row>
    <row r="95" customFormat="false" ht="33.75" hidden="false" customHeight="true" outlineLevel="0" collapsed="false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4" t="str">
        <f aca="false">IF($A95="","",IF(COUNTBLANK($B95:$C95)+COUNTBLANK($E95:$H95)&gt;0,"Faltan campos",IF(AND($C95="No funcional",$D95=""),"Falta categoría",IF($K95="","Falta definir si integra el MVP","Fila completa"))))</f>
        <v/>
      </c>
    </row>
    <row r="96" customFormat="false" ht="33.75" hidden="false" customHeight="tru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4" t="str">
        <f aca="false">IF($A96="","",IF(COUNTBLANK($B96:$C96)+COUNTBLANK($E96:$H96)&gt;0,"Faltan campos",IF(AND($C96="No funcional",$D96=""),"Falta categoría",IF($K96="","Falta definir si integra el MVP","Fila completa"))))</f>
        <v/>
      </c>
    </row>
    <row r="97" customFormat="false" ht="33.75" hidden="false" customHeight="true" outlineLevel="0" collapsed="false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4" t="str">
        <f aca="false">IF($A97="","",IF(COUNTBLANK($B97:$C97)+COUNTBLANK($E97:$H97)&gt;0,"Faltan campos",IF(AND($C97="No funcional",$D97=""),"Falta categoría",IF($K97="","Falta definir si integra el MVP","Fila completa"))))</f>
        <v/>
      </c>
    </row>
    <row r="98" customFormat="false" ht="33.75" hidden="false" customHeight="tru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4" t="str">
        <f aca="false">IF($A98="","",IF(COUNTBLANK($B98:$C98)+COUNTBLANK($E98:$H98)&gt;0,"Faltan campos",IF(AND($C98="No funcional",$D98=""),"Falta categoría",IF($K98="","Falta definir si integra el MVP","Fila completa"))))</f>
        <v/>
      </c>
    </row>
    <row r="99" customFormat="false" ht="33.75" hidden="false" customHeight="true" outlineLevel="0" collapsed="false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4" t="str">
        <f aca="false">IF($A99="","",IF(COUNTBLANK($B99:$C99)+COUNTBLANK($E99:$H99)&gt;0,"Faltan campos",IF(AND($C99="No funcional",$D99=""),"Falta categoría",IF($K99="","Falta definir si integra el MVP","Fila completa"))))</f>
        <v/>
      </c>
    </row>
    <row r="100" customFormat="false" ht="33.75" hidden="false" customHeight="tru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4" t="str">
        <f aca="false">IF($A100="","",IF(COUNTBLANK($B100:$C100)+COUNTBLANK($E100:$H100)&gt;0,"Faltan campos",IF(AND($C100="No funcional",$D100=""),"Falta categoría",IF($K100="","Falta definir si integra el MVP","Fila completa"))))</f>
        <v/>
      </c>
    </row>
    <row r="101" customFormat="false" ht="33.75" hidden="false" customHeight="true" outlineLevel="0" collapsed="false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4" t="str">
        <f aca="false">IF($A101="","",IF(COUNTBLANK($B101:$C101)+COUNTBLANK($E101:$H101)&gt;0,"Faltan campos",IF(AND($C101="No funcional",$D101=""),"Falta categoría",IF($K101="","Falta definir si integra el MVP","Fila completa"))))</f>
        <v/>
      </c>
    </row>
    <row r="102" customFormat="false" ht="33.75" hidden="false" customHeight="tru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4" t="str">
        <f aca="false">IF($A102="","",IF(COUNTBLANK($B102:$C102)+COUNTBLANK($E102:$H102)&gt;0,"Faltan campos",IF(AND($C102="No funcional",$D102=""),"Falta categoría",IF($K102="","Falta definir si integra el MVP","Fila completa"))))</f>
        <v/>
      </c>
    </row>
    <row r="103" customFormat="false" ht="33.75" hidden="false" customHeight="true" outlineLevel="0" collapsed="false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4" t="str">
        <f aca="false">IF($A103="","",IF(COUNTBLANK($B103:$C103)+COUNTBLANK($E103:$H103)&gt;0,"Faltan campos",IF(AND($C103="No funcional",$D103=""),"Falta categoría",IF($K103="","Falta definir si integra el MVP","Fila completa"))))</f>
        <v/>
      </c>
    </row>
    <row r="104" customFormat="false" ht="33.75" hidden="false" customHeight="tru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4" t="str">
        <f aca="false">IF($A104="","",IF(COUNTBLANK($B104:$C104)+COUNTBLANK($E104:$H104)&gt;0,"Faltan campos",IF(AND($C104="No funcional",$D104=""),"Falta categoría",IF($K104="","Falta definir si integra el MVP","Fila completa"))))</f>
        <v/>
      </c>
    </row>
    <row r="105" customFormat="false" ht="33.75" hidden="false" customHeight="true" outlineLevel="0" collapsed="false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4" t="str">
        <f aca="false">IF($A105="","",IF(COUNTBLANK($B105:$C105)+COUNTBLANK($E105:$H105)&gt;0,"Faltan campos",IF(AND($C105="No funcional",$D105=""),"Falta categoría",IF($K105="","Falta definir si integra el MVP","Fila completa"))))</f>
        <v/>
      </c>
    </row>
    <row r="106" customFormat="false" ht="33.75" hidden="false" customHeight="tru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4" t="str">
        <f aca="false">IF($A106="","",IF(COUNTBLANK($B106:$C106)+COUNTBLANK($E106:$H106)&gt;0,"Faltan campos",IF(AND($C106="No funcional",$D106=""),"Falta categoría",IF($K106="","Falta definir si integra el MVP","Fila completa"))))</f>
        <v/>
      </c>
    </row>
    <row r="107" customFormat="false" ht="33.75" hidden="false" customHeight="tru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4" t="str">
        <f aca="false">IF($A107="","",IF(COUNTBLANK($B107:$C107)+COUNTBLANK($E107:$H107)&gt;0,"Faltan campos",IF(AND($C107="No funcional",$D107=""),"Falta categoría",IF($K107="","Falta definir si integra el MVP","Fila completa"))))</f>
        <v/>
      </c>
    </row>
    <row r="108" customFormat="false" ht="33.75" hidden="false" customHeight="tru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4" t="str">
        <f aca="false">IF($A108="","",IF(COUNTBLANK($B108:$C108)+COUNTBLANK($E108:$H108)&gt;0,"Faltan campos",IF(AND($C108="No funcional",$D108=""),"Falta categoría",IF($K108="","Falta definir si integra el MVP","Fila completa"))))</f>
        <v/>
      </c>
    </row>
    <row r="109" customFormat="false" ht="33.75" hidden="false" customHeight="tru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4" t="str">
        <f aca="false">IF($A109="","",IF(COUNTBLANK($B109:$C109)+COUNTBLANK($E109:$H109)&gt;0,"Faltan campos",IF(AND($C109="No funcional",$D109=""),"Falta categoría",IF($K109="","Falta definir si integra el MVP","Fila completa"))))</f>
        <v/>
      </c>
    </row>
    <row r="110" customFormat="false" ht="33.75" hidden="false" customHeight="tru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4" t="str">
        <f aca="false">IF($A110="","",IF(COUNTBLANK($B110:$C110)+COUNTBLANK($E110:$H110)&gt;0,"Faltan campos",IF(AND($C110="No funcional",$D110=""),"Falta categoría",IF($K110="","Falta definir si integra el MVP","Fila completa"))))</f>
        <v/>
      </c>
    </row>
    <row r="111" customFormat="false" ht="33.75" hidden="false" customHeight="tru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4" t="str">
        <f aca="false">IF($A111="","",IF(COUNTBLANK($B111:$C111)+COUNTBLANK($E111:$H111)&gt;0,"Faltan campos",IF(AND($C111="No funcional",$D111=""),"Falta categoría",IF($K111="","Falta definir si integra el MVP","Fila completa"))))</f>
        <v/>
      </c>
    </row>
    <row r="112" customFormat="false" ht="33.75" hidden="false" customHeight="tru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4" t="str">
        <f aca="false">IF($A112="","",IF(COUNTBLANK($B112:$C112)+COUNTBLANK($E112:$H112)&gt;0,"Faltan campos",IF(AND($C112="No funcional",$D112=""),"Falta categoría",IF($K112="","Falta definir si integra el MVP","Fila completa"))))</f>
        <v/>
      </c>
    </row>
    <row r="113" customFormat="false" ht="33.75" hidden="false" customHeight="tru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4" t="str">
        <f aca="false">IF($A113="","",IF(COUNTBLANK($B113:$C113)+COUNTBLANK($E113:$H113)&gt;0,"Faltan campos",IF(AND($C113="No funcional",$D113=""),"Falta categoría",IF($K113="","Falta definir si integra el MVP","Fila completa"))))</f>
        <v/>
      </c>
    </row>
    <row r="114" customFormat="false" ht="33.75" hidden="false" customHeight="tru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4" t="str">
        <f aca="false">IF($A114="","",IF(COUNTBLANK($B114:$C114)+COUNTBLANK($E114:$H114)&gt;0,"Faltan campos",IF(AND($C114="No funcional",$D114=""),"Falta categoría",IF($K114="","Falta definir si integra el MVP","Fila completa"))))</f>
        <v/>
      </c>
    </row>
    <row r="115" customFormat="false" ht="33.75" hidden="false" customHeight="tru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4" t="str">
        <f aca="false">IF($A115="","",IF(COUNTBLANK($B115:$C115)+COUNTBLANK($E115:$H115)&gt;0,"Faltan campos",IF(AND($C115="No funcional",$D115=""),"Falta categoría",IF($K115="","Falta definir si integra el MVP","Fila completa"))))</f>
        <v/>
      </c>
    </row>
    <row r="116" customFormat="false" ht="33.75" hidden="false" customHeight="tru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4" t="str">
        <f aca="false">IF($A116="","",IF(COUNTBLANK($B116:$C116)+COUNTBLANK($E116:$H116)&gt;0,"Faltan campos",IF(AND($C116="No funcional",$D116=""),"Falta categoría",IF($K116="","Falta definir si integra el MVP","Fila completa"))))</f>
        <v/>
      </c>
    </row>
    <row r="117" customFormat="false" ht="33.75" hidden="false" customHeight="tru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4" t="str">
        <f aca="false">IF($A117="","",IF(COUNTBLANK($B117:$C117)+COUNTBLANK($E117:$H117)&gt;0,"Faltan campos",IF(AND($C117="No funcional",$D117=""),"Falta categoría",IF($K117="","Falta definir si integra el MVP","Fila completa"))))</f>
        <v/>
      </c>
    </row>
    <row r="118" customFormat="false" ht="33.75" hidden="false" customHeight="tru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4" t="str">
        <f aca="false">IF($A118="","",IF(COUNTBLANK($B118:$C118)+COUNTBLANK($E118:$H118)&gt;0,"Faltan campos",IF(AND($C118="No funcional",$D118=""),"Falta categoría",IF($K118="","Falta definir si integra el MVP","Fila completa"))))</f>
        <v/>
      </c>
    </row>
    <row r="119" customFormat="false" ht="33.75" hidden="false" customHeight="tru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4" t="str">
        <f aca="false">IF($A119="","",IF(COUNTBLANK($B119:$C119)+COUNTBLANK($E119:$H119)&gt;0,"Faltan campos",IF(AND($C119="No funcional",$D119=""),"Falta categoría",IF($K119="","Falta definir si integra el MVP","Fila completa"))))</f>
        <v/>
      </c>
    </row>
    <row r="120" customFormat="false" ht="33.75" hidden="false" customHeight="tru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4" t="str">
        <f aca="false">IF($A120="","",IF(COUNTBLANK($B120:$C120)+COUNTBLANK($E120:$H120)&gt;0,"Faltan campos",IF(AND($C120="No funcional",$D120=""),"Falta categoría",IF($K120="","Falta definir si integra el MVP","Fila completa"))))</f>
        <v/>
      </c>
    </row>
    <row r="121" customFormat="false" ht="33.75" hidden="false" customHeight="tru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4" t="str">
        <f aca="false">IF($A121="","",IF(COUNTBLANK($B121:$C121)+COUNTBLANK($E121:$H121)&gt;0,"Faltan campos",IF(AND($C121="No funcional",$D121=""),"Falta categoría",IF($K121="","Falta definir si integra el MVP","Fila completa"))))</f>
        <v/>
      </c>
    </row>
    <row r="122" customFormat="false" ht="33.75" hidden="false" customHeight="tru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4" t="str">
        <f aca="false">IF($A122="","",IF(COUNTBLANK($B122:$C122)+COUNTBLANK($E122:$H122)&gt;0,"Faltan campos",IF(AND($C122="No funcional",$D122=""),"Falta categoría",IF($K122="","Falta definir si integra el MVP","Fila completa"))))</f>
        <v/>
      </c>
    </row>
    <row r="123" customFormat="false" ht="33.75" hidden="false" customHeight="tru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4" t="str">
        <f aca="false">IF($A123="","",IF(COUNTBLANK($B123:$C123)+COUNTBLANK($E123:$H123)&gt;0,"Faltan campos",IF(AND($C123="No funcional",$D123=""),"Falta categoría",IF($K123="","Falta definir si integra el MVP","Fila completa"))))</f>
        <v/>
      </c>
    </row>
    <row r="124" customFormat="false" ht="33.75" hidden="false" customHeight="tru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4" t="str">
        <f aca="false">IF($A124="","",IF(COUNTBLANK($B124:$C124)+COUNTBLANK($E124:$H124)&gt;0,"Faltan campos",IF(AND($C124="No funcional",$D124=""),"Falta categoría",IF($K124="","Falta definir si integra el MVP","Fila completa"))))</f>
        <v/>
      </c>
    </row>
    <row r="125" customFormat="false" ht="33.75" hidden="false" customHeight="tru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4" t="str">
        <f aca="false">IF($A125="","",IF(COUNTBLANK($B125:$C125)+COUNTBLANK($E125:$H125)&gt;0,"Faltan campos",IF(AND($C125="No funcional",$D125=""),"Falta categoría",IF($K125="","Falta definir si integra el MVP","Fila completa"))))</f>
        <v/>
      </c>
    </row>
    <row r="126" customFormat="false" ht="33.75" hidden="false" customHeight="tru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4" t="str">
        <f aca="false">IF($A126="","",IF(COUNTBLANK($B126:$C126)+COUNTBLANK($E126:$H126)&gt;0,"Faltan campos",IF(AND($C126="No funcional",$D126=""),"Falta categoría",IF($K126="","Falta definir si integra el MVP","Fila completa"))))</f>
        <v/>
      </c>
    </row>
    <row r="127" customFormat="false" ht="33.75" hidden="false" customHeight="tru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4" t="str">
        <f aca="false">IF($A127="","",IF(COUNTBLANK($B127:$C127)+COUNTBLANK($E127:$H127)&gt;0,"Faltan campos",IF(AND($C127="No funcional",$D127=""),"Falta categoría",IF($K127="","Falta definir si integra el MVP","Fila completa"))))</f>
        <v/>
      </c>
    </row>
    <row r="128" customFormat="false" ht="33.75" hidden="false" customHeight="tru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4" t="str">
        <f aca="false">IF($A128="","",IF(COUNTBLANK($B128:$C128)+COUNTBLANK($E128:$H128)&gt;0,"Faltan campos",IF(AND($C128="No funcional",$D128=""),"Falta categoría",IF($K128="","Falta definir si integra el MVP","Fila completa"))))</f>
        <v/>
      </c>
    </row>
    <row r="129" customFormat="false" ht="33.75" hidden="false" customHeight="tru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4" t="str">
        <f aca="false">IF($A129="","",IF(COUNTBLANK($B129:$C129)+COUNTBLANK($E129:$H129)&gt;0,"Faltan campos",IF(AND($C129="No funcional",$D129=""),"Falta categoría",IF($K129="","Falta definir si integra el MVP","Fila completa"))))</f>
        <v/>
      </c>
    </row>
    <row r="130" customFormat="false" ht="33.75" hidden="false" customHeight="tru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4" t="str">
        <f aca="false">IF($A130="","",IF(COUNTBLANK($B130:$C130)+COUNTBLANK($E130:$H130)&gt;0,"Faltan campos",IF(AND($C130="No funcional",$D130=""),"Falta categoría",IF($K130="","Falta definir si integra el MVP","Fila completa"))))</f>
        <v/>
      </c>
    </row>
    <row r="131" customFormat="false" ht="33.75" hidden="false" customHeight="tru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4" t="str">
        <f aca="false">IF($A131="","",IF(COUNTBLANK($B131:$C131)+COUNTBLANK($E131:$H131)&gt;0,"Faltan campos",IF(AND($C131="No funcional",$D131=""),"Falta categoría",IF($K131="","Falta definir si integra el MVP","Fila completa"))))</f>
        <v/>
      </c>
    </row>
    <row r="132" customFormat="false" ht="33.75" hidden="false" customHeight="tru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4" t="str">
        <f aca="false">IF($A132="","",IF(COUNTBLANK($B132:$C132)+COUNTBLANK($E132:$H132)&gt;0,"Faltan campos",IF(AND($C132="No funcional",$D132=""),"Falta categoría",IF($K132="","Falta definir si integra el MVP","Fila completa"))))</f>
        <v/>
      </c>
    </row>
    <row r="133" customFormat="false" ht="33.75" hidden="false" customHeight="tru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4" t="str">
        <f aca="false">IF($A133="","",IF(COUNTBLANK($B133:$C133)+COUNTBLANK($E133:$H133)&gt;0,"Faltan campos",IF(AND($C133="No funcional",$D133=""),"Falta categoría",IF($K133="","Falta definir si integra el MVP","Fila completa"))))</f>
        <v/>
      </c>
    </row>
    <row r="134" customFormat="false" ht="33.75" hidden="false" customHeight="tru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4" t="str">
        <f aca="false">IF($A134="","",IF(COUNTBLANK($B134:$C134)+COUNTBLANK($E134:$H134)&gt;0,"Faltan campos",IF(AND($C134="No funcional",$D134=""),"Falta categoría",IF($K134="","Falta definir si integra el MVP","Fila completa"))))</f>
        <v/>
      </c>
    </row>
    <row r="135" customFormat="false" ht="33.75" hidden="false" customHeight="tru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4" t="str">
        <f aca="false">IF($A135="","",IF(COUNTBLANK($B135:$C135)+COUNTBLANK($E135:$H135)&gt;0,"Faltan campos",IF(AND($C135="No funcional",$D135=""),"Falta categoría",IF($K135="","Falta definir si integra el MVP","Fila completa"))))</f>
        <v/>
      </c>
    </row>
    <row r="136" customFormat="false" ht="33.75" hidden="false" customHeight="tru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4" t="str">
        <f aca="false">IF($A136="","",IF(COUNTBLANK($B136:$C136)+COUNTBLANK($E136:$H136)&gt;0,"Faltan campos",IF(AND($C136="No funcional",$D136=""),"Falta categoría",IF($K136="","Falta definir si integra el MVP","Fila completa"))))</f>
        <v/>
      </c>
    </row>
    <row r="137" customFormat="false" ht="33.75" hidden="false" customHeight="tru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4" t="str">
        <f aca="false">IF($A137="","",IF(COUNTBLANK($B137:$C137)+COUNTBLANK($E137:$H137)&gt;0,"Faltan campos",IF(AND($C137="No funcional",$D137=""),"Falta categoría",IF($K137="","Falta definir si integra el MVP","Fila completa"))))</f>
        <v/>
      </c>
    </row>
    <row r="138" customFormat="false" ht="33.75" hidden="false" customHeight="tru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4" t="str">
        <f aca="false">IF($A138="","",IF(COUNTBLANK($B138:$C138)+COUNTBLANK($E138:$H138)&gt;0,"Faltan campos",IF(AND($C138="No funcional",$D138=""),"Falta categoría",IF($K138="","Falta definir si integra el MVP","Fila completa"))))</f>
        <v/>
      </c>
    </row>
    <row r="139" customFormat="false" ht="33.75" hidden="false" customHeight="tru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4" t="str">
        <f aca="false">IF($A139="","",IF(COUNTBLANK($B139:$C139)+COUNTBLANK($E139:$H139)&gt;0,"Faltan campos",IF(AND($C139="No funcional",$D139=""),"Falta categoría",IF($K139="","Falta definir si integra el MVP","Fila completa"))))</f>
        <v/>
      </c>
    </row>
    <row r="140" customFormat="false" ht="33.75" hidden="false" customHeight="tru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4" t="str">
        <f aca="false">IF($A140="","",IF(COUNTBLANK($B140:$C140)+COUNTBLANK($E140:$H140)&gt;0,"Faltan campos",IF(AND($C140="No funcional",$D140=""),"Falta categoría",IF($K140="","Falta definir si integra el MVP","Fila completa"))))</f>
        <v/>
      </c>
    </row>
    <row r="141" customFormat="false" ht="33.75" hidden="false" customHeight="tru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4" t="str">
        <f aca="false">IF($A141="","",IF(COUNTBLANK($B141:$C141)+COUNTBLANK($E141:$H141)&gt;0,"Faltan campos",IF(AND($C141="No funcional",$D141=""),"Falta categoría",IF($K141="","Falta definir si integra el MVP","Fila completa"))))</f>
        <v/>
      </c>
    </row>
    <row r="142" customFormat="false" ht="33.75" hidden="false" customHeight="tru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4" t="str">
        <f aca="false">IF($A142="","",IF(COUNTBLANK($B142:$C142)+COUNTBLANK($E142:$H142)&gt;0,"Faltan campos",IF(AND($C142="No funcional",$D142=""),"Falta categoría",IF($K142="","Falta definir si integra el MVP","Fila completa"))))</f>
        <v/>
      </c>
    </row>
    <row r="143" customFormat="false" ht="33.75" hidden="false" customHeight="tru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4" t="str">
        <f aca="false">IF($A143="","",IF(COUNTBLANK($B143:$C143)+COUNTBLANK($E143:$H143)&gt;0,"Faltan campos",IF(AND($C143="No funcional",$D143=""),"Falta categoría",IF($K143="","Falta definir si integra el MVP","Fila completa"))))</f>
        <v/>
      </c>
    </row>
    <row r="144" customFormat="false" ht="33.75" hidden="false" customHeight="tru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4" t="str">
        <f aca="false">IF($A144="","",IF(COUNTBLANK($B144:$C144)+COUNTBLANK($E144:$H144)&gt;0,"Faltan campos",IF(AND($C144="No funcional",$D144=""),"Falta categoría",IF($K144="","Falta definir si integra el MVP","Fila completa"))))</f>
        <v/>
      </c>
    </row>
    <row r="145" customFormat="false" ht="33.75" hidden="false" customHeight="tru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4" t="str">
        <f aca="false">IF($A145="","",IF(COUNTBLANK($B145:$C145)+COUNTBLANK($E145:$H145)&gt;0,"Faltan campos",IF(AND($C145="No funcional",$D145=""),"Falta categoría",IF($K145="","Falta definir si integra el MVP","Fila completa"))))</f>
        <v/>
      </c>
    </row>
    <row r="146" customFormat="false" ht="33.75" hidden="false" customHeight="tru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4" t="str">
        <f aca="false">IF($A146="","",IF(COUNTBLANK($B146:$C146)+COUNTBLANK($E146:$H146)&gt;0,"Faltan campos",IF(AND($C146="No funcional",$D146=""),"Falta categoría",IF($K146="","Falta definir si integra el MVP","Fila completa"))))</f>
        <v/>
      </c>
    </row>
    <row r="147" customFormat="false" ht="33.75" hidden="false" customHeight="tru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4" t="str">
        <f aca="false">IF($A147="","",IF(COUNTBLANK($B147:$C147)+COUNTBLANK($E147:$H147)&gt;0,"Faltan campos",IF(AND($C147="No funcional",$D147=""),"Falta categoría",IF($K147="","Falta definir si integra el MVP","Fila completa"))))</f>
        <v/>
      </c>
    </row>
    <row r="148" customFormat="false" ht="33.75" hidden="false" customHeight="tru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4" t="str">
        <f aca="false">IF($A148="","",IF(COUNTBLANK($B148:$C148)+COUNTBLANK($E148:$H148)&gt;0,"Faltan campos",IF(AND($C148="No funcional",$D148=""),"Falta categoría",IF($K148="","Falta definir si integra el MVP","Fila completa"))))</f>
        <v/>
      </c>
    </row>
    <row r="149" customFormat="false" ht="33.75" hidden="false" customHeight="tru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4" t="str">
        <f aca="false">IF($A149="","",IF(COUNTBLANK($B149:$C149)+COUNTBLANK($E149:$H149)&gt;0,"Faltan campos",IF(AND($C149="No funcional",$D149=""),"Falta categoría",IF($K149="","Falta definir si integra el MVP","Fila completa"))))</f>
        <v/>
      </c>
    </row>
    <row r="150" customFormat="false" ht="33.75" hidden="false" customHeight="tru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4" t="str">
        <f aca="false">IF($A150="","",IF(COUNTBLANK($B150:$C150)+COUNTBLANK($E150:$H150)&gt;0,"Faltan campos",IF(AND($C150="No funcional",$D150=""),"Falta categoría",IF($K150="","Falta definir si integra el MVP","Fila completa"))))</f>
        <v/>
      </c>
    </row>
    <row r="151" customFormat="false" ht="33.75" hidden="false" customHeight="tru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4" t="str">
        <f aca="false">IF($A151="","",IF(COUNTBLANK($B151:$C151)+COUNTBLANK($E151:$H151)&gt;0,"Faltan campos",IF(AND($C151="No funcional",$D151=""),"Falta categoría",IF($K151="","Falta definir si integra el MVP","Fila completa"))))</f>
        <v/>
      </c>
    </row>
    <row r="152" customFormat="false" ht="33.75" hidden="false" customHeight="tru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4" t="str">
        <f aca="false">IF($A152="","",IF(COUNTBLANK($B152:$C152)+COUNTBLANK($E152:$H152)&gt;0,"Faltan campos",IF(AND($C152="No funcional",$D152=""),"Falta categoría",IF($K152="","Falta definir si integra el MVP","Fila completa"))))</f>
        <v/>
      </c>
    </row>
    <row r="153" customFormat="false" ht="33.75" hidden="false" customHeight="tru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4" t="str">
        <f aca="false">IF($A153="","",IF(COUNTBLANK($B153:$C153)+COUNTBLANK($E153:$H153)&gt;0,"Faltan campos",IF(AND($C153="No funcional",$D153=""),"Falta categoría",IF($K153="","Falta definir si integra el MVP","Fila completa"))))</f>
        <v/>
      </c>
    </row>
    <row r="154" customFormat="false" ht="33.75" hidden="false" customHeight="tru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4" t="str">
        <f aca="false">IF($A154="","",IF(COUNTBLANK($B154:$C154)+COUNTBLANK($E154:$H154)&gt;0,"Faltan campos",IF(AND($C154="No funcional",$D154=""),"Falta categoría",IF($K154="","Falta definir si integra el MVP","Fila completa"))))</f>
        <v/>
      </c>
    </row>
    <row r="155" customFormat="false" ht="33.75" hidden="false" customHeight="tru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4" t="str">
        <f aca="false">IF($A155="","",IF(COUNTBLANK($B155:$C155)+COUNTBLANK($E155:$H155)&gt;0,"Faltan campos",IF(AND($C155="No funcional",$D155=""),"Falta categoría",IF($K155="","Falta definir si integra el MVP","Fila completa"))))</f>
        <v/>
      </c>
    </row>
    <row r="156" customFormat="false" ht="33.75" hidden="false" customHeight="tru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4" t="str">
        <f aca="false">IF($A156="","",IF(COUNTBLANK($B156:$C156)+COUNTBLANK($E156:$H156)&gt;0,"Faltan campos",IF(AND($C156="No funcional",$D156=""),"Falta categoría",IF($K156="","Falta definir si integra el MVP","Fila completa"))))</f>
        <v/>
      </c>
    </row>
    <row r="157" customFormat="false" ht="33.75" hidden="false" customHeight="tru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4" t="str">
        <f aca="false">IF($A157="","",IF(COUNTBLANK($B157:$C157)+COUNTBLANK($E157:$H157)&gt;0,"Faltan campos",IF(AND($C157="No funcional",$D157=""),"Falta categoría",IF($K157="","Falta definir si integra el MVP","Fila completa"))))</f>
        <v/>
      </c>
    </row>
    <row r="158" customFormat="false" ht="33.75" hidden="false" customHeight="tru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4" t="str">
        <f aca="false">IF($A158="","",IF(COUNTBLANK($B158:$C158)+COUNTBLANK($E158:$H158)&gt;0,"Faltan campos",IF(AND($C158="No funcional",$D158=""),"Falta categoría",IF($K158="","Falta definir si integra el MVP","Fila completa"))))</f>
        <v/>
      </c>
    </row>
    <row r="159" customFormat="false" ht="33.75" hidden="false" customHeight="tru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4" t="str">
        <f aca="false">IF($A159="","",IF(COUNTBLANK($B159:$C159)+COUNTBLANK($E159:$H159)&gt;0,"Faltan campos",IF(AND($C159="No funcional",$D159=""),"Falta categoría",IF($K159="","Falta definir si integra el MVP","Fila completa"))))</f>
        <v/>
      </c>
    </row>
    <row r="160" customFormat="false" ht="33.75" hidden="false" customHeight="tru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4" t="str">
        <f aca="false">IF($A160="","",IF(COUNTBLANK($B160:$C160)+COUNTBLANK($E160:$H160)&gt;0,"Faltan campos",IF(AND($C160="No funcional",$D160=""),"Falta categoría",IF($K160="","Falta definir si integra el MVP","Fila completa"))))</f>
        <v/>
      </c>
    </row>
    <row r="161" customFormat="false" ht="33.75" hidden="false" customHeight="tru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4" t="str">
        <f aca="false">IF($A161="","",IF(COUNTBLANK($B161:$C161)+COUNTBLANK($E161:$H161)&gt;0,"Faltan campos",IF(AND($C161="No funcional",$D161=""),"Falta categoría",IF($K161="","Falta definir si integra el MVP","Fila completa"))))</f>
        <v/>
      </c>
    </row>
    <row r="162" customFormat="false" ht="33.75" hidden="false" customHeight="tru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4" t="str">
        <f aca="false">IF($A162="","",IF(COUNTBLANK($B162:$C162)+COUNTBLANK($E162:$H162)&gt;0,"Faltan campos",IF(AND($C162="No funcional",$D162=""),"Falta categoría",IF($K162="","Falta definir si integra el MVP","Fila completa"))))</f>
        <v/>
      </c>
    </row>
    <row r="163" customFormat="false" ht="33.75" hidden="false" customHeight="tru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4" t="str">
        <f aca="false">IF($A163="","",IF(COUNTBLANK($B163:$C163)+COUNTBLANK($E163:$H163)&gt;0,"Faltan campos",IF(AND($C163="No funcional",$D163=""),"Falta categoría",IF($K163="","Falta definir si integra el MVP","Fila completa"))))</f>
        <v/>
      </c>
    </row>
    <row r="164" customFormat="false" ht="33.75" hidden="false" customHeight="tru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4" t="str">
        <f aca="false">IF($A164="","",IF(COUNTBLANK($B164:$C164)+COUNTBLANK($E164:$H164)&gt;0,"Faltan campos",IF(AND($C164="No funcional",$D164=""),"Falta categoría",IF($K164="","Falta definir si integra el MVP","Fila completa"))))</f>
        <v/>
      </c>
    </row>
    <row r="165" customFormat="false" ht="33.75" hidden="false" customHeight="tru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4" t="str">
        <f aca="false">IF($A165="","",IF(COUNTBLANK($B165:$C165)+COUNTBLANK($E165:$H165)&gt;0,"Faltan campos",IF(AND($C165="No funcional",$D165=""),"Falta categoría",IF($K165="","Falta definir si integra el MVP","Fila completa"))))</f>
        <v/>
      </c>
    </row>
    <row r="166" customFormat="false" ht="33.75" hidden="false" customHeight="tru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4" t="str">
        <f aca="false">IF($A166="","",IF(COUNTBLANK($B166:$C166)+COUNTBLANK($E166:$H166)&gt;0,"Faltan campos",IF(AND($C166="No funcional",$D166=""),"Falta categoría",IF($K166="","Falta definir si integra el MVP","Fila completa"))))</f>
        <v/>
      </c>
    </row>
    <row r="167" customFormat="false" ht="33.75" hidden="false" customHeight="tru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4" t="str">
        <f aca="false">IF($A167="","",IF(COUNTBLANK($B167:$C167)+COUNTBLANK($E167:$H167)&gt;0,"Faltan campos",IF(AND($C167="No funcional",$D167=""),"Falta categoría",IF($K167="","Falta definir si integra el MVP","Fila completa"))))</f>
        <v/>
      </c>
    </row>
    <row r="168" customFormat="false" ht="33.75" hidden="false" customHeight="tru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4" t="str">
        <f aca="false">IF($A168="","",IF(COUNTBLANK($B168:$C168)+COUNTBLANK($E168:$H168)&gt;0,"Faltan campos",IF(AND($C168="No funcional",$D168=""),"Falta categoría",IF($K168="","Falta definir si integra el MVP","Fila completa"))))</f>
        <v/>
      </c>
    </row>
    <row r="169" customFormat="false" ht="33.75" hidden="false" customHeight="tru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4" t="str">
        <f aca="false">IF($A169="","",IF(COUNTBLANK($B169:$C169)+COUNTBLANK($E169:$H169)&gt;0,"Faltan campos",IF(AND($C169="No funcional",$D169=""),"Falta categoría",IF($K169="","Falta definir si integra el MVP","Fila completa"))))</f>
        <v/>
      </c>
    </row>
    <row r="170" customFormat="false" ht="33.75" hidden="false" customHeight="tru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4" t="str">
        <f aca="false">IF($A170="","",IF(COUNTBLANK($B170:$C170)+COUNTBLANK($E170:$H170)&gt;0,"Faltan campos",IF(AND($C170="No funcional",$D170=""),"Falta categoría",IF($K170="","Falta definir si integra el MVP","Fila completa"))))</f>
        <v/>
      </c>
    </row>
    <row r="171" customFormat="false" ht="33.75" hidden="false" customHeight="tru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4" t="str">
        <f aca="false">IF($A171="","",IF(COUNTBLANK($B171:$C171)+COUNTBLANK($E171:$H171)&gt;0,"Faltan campos",IF(AND($C171="No funcional",$D171=""),"Falta categoría",IF($K171="","Falta definir si integra el MVP","Fila completa"))))</f>
        <v/>
      </c>
    </row>
    <row r="172" customFormat="false" ht="33.75" hidden="false" customHeight="tru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4" t="str">
        <f aca="false">IF($A172="","",IF(COUNTBLANK($B172:$C172)+COUNTBLANK($E172:$H172)&gt;0,"Faltan campos",IF(AND($C172="No funcional",$D172=""),"Falta categoría",IF($K172="","Falta definir si integra el MVP","Fila completa"))))</f>
        <v/>
      </c>
    </row>
    <row r="173" customFormat="false" ht="33.75" hidden="false" customHeight="tru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4" t="str">
        <f aca="false">IF($A173="","",IF(COUNTBLANK($B173:$C173)+COUNTBLANK($E173:$H173)&gt;0,"Faltan campos",IF(AND($C173="No funcional",$D173=""),"Falta categoría",IF($K173="","Falta definir si integra el MVP","Fila completa"))))</f>
        <v/>
      </c>
    </row>
    <row r="174" customFormat="false" ht="33.75" hidden="false" customHeight="tru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4" t="str">
        <f aca="false">IF($A174="","",IF(COUNTBLANK($B174:$C174)+COUNTBLANK($E174:$H174)&gt;0,"Faltan campos",IF(AND($C174="No funcional",$D174=""),"Falta categoría",IF($K174="","Falta definir si integra el MVP","Fila completa"))))</f>
        <v/>
      </c>
    </row>
    <row r="175" customFormat="false" ht="33.75" hidden="false" customHeight="tru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4" t="str">
        <f aca="false">IF($A175="","",IF(COUNTBLANK($B175:$C175)+COUNTBLANK($E175:$H175)&gt;0,"Faltan campos",IF(AND($C175="No funcional",$D175=""),"Falta categoría",IF($K175="","Falta definir si integra el MVP","Fila completa"))))</f>
        <v/>
      </c>
    </row>
    <row r="176" customFormat="false" ht="33.75" hidden="false" customHeight="tru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4" t="str">
        <f aca="false">IF($A176="","",IF(COUNTBLANK($B176:$C176)+COUNTBLANK($E176:$H176)&gt;0,"Faltan campos",IF(AND($C176="No funcional",$D176=""),"Falta categoría",IF($K176="","Falta definir si integra el MVP","Fila completa"))))</f>
        <v/>
      </c>
    </row>
    <row r="177" customFormat="false" ht="33.75" hidden="false" customHeight="tru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4" t="str">
        <f aca="false">IF($A177="","",IF(COUNTBLANK($B177:$C177)+COUNTBLANK($E177:$H177)&gt;0,"Faltan campos",IF(AND($C177="No funcional",$D177=""),"Falta categoría",IF($K177="","Falta definir si integra el MVP","Fila completa"))))</f>
        <v/>
      </c>
    </row>
    <row r="178" customFormat="false" ht="33.75" hidden="false" customHeight="tru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4" t="str">
        <f aca="false">IF($A178="","",IF(COUNTBLANK($B178:$C178)+COUNTBLANK($E178:$H178)&gt;0,"Faltan campos",IF(AND($C178="No funcional",$D178=""),"Falta categoría",IF($K178="","Falta definir si integra el MVP","Fila completa"))))</f>
        <v/>
      </c>
    </row>
    <row r="179" customFormat="false" ht="33.75" hidden="false" customHeight="tru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4" t="str">
        <f aca="false">IF($A179="","",IF(COUNTBLANK($B179:$C179)+COUNTBLANK($E179:$H179)&gt;0,"Faltan campos",IF(AND($C179="No funcional",$D179=""),"Falta categoría",IF($K179="","Falta definir si integra el MVP","Fila completa"))))</f>
        <v/>
      </c>
    </row>
    <row r="180" customFormat="false" ht="33.75" hidden="false" customHeight="tru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4" t="str">
        <f aca="false">IF($A180="","",IF(COUNTBLANK($B180:$C180)+COUNTBLANK($E180:$H180)&gt;0,"Faltan campos",IF(AND($C180="No funcional",$D180=""),"Falta categoría",IF($K180="","Falta definir si integra el MVP","Fila completa"))))</f>
        <v/>
      </c>
    </row>
    <row r="181" customFormat="false" ht="33.75" hidden="false" customHeight="tru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4" t="str">
        <f aca="false">IF($A181="","",IF(COUNTBLANK($B181:$C181)+COUNTBLANK($E181:$H181)&gt;0,"Faltan campos",IF(AND($C181="No funcional",$D181=""),"Falta categoría",IF($K181="","Falta definir si integra el MVP","Fila completa"))))</f>
        <v/>
      </c>
    </row>
    <row r="182" customFormat="false" ht="33.75" hidden="false" customHeight="tru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4" t="str">
        <f aca="false">IF($A182="","",IF(COUNTBLANK($B182:$C182)+COUNTBLANK($E182:$H182)&gt;0,"Faltan campos",IF(AND($C182="No funcional",$D182=""),"Falta categoría",IF($K182="","Falta definir si integra el MVP","Fila completa"))))</f>
        <v/>
      </c>
    </row>
    <row r="183" customFormat="false" ht="33.75" hidden="false" customHeight="tru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4" t="str">
        <f aca="false">IF($A183="","",IF(COUNTBLANK($B183:$C183)+COUNTBLANK($E183:$H183)&gt;0,"Faltan campos",IF(AND($C183="No funcional",$D183=""),"Falta categoría",IF($K183="","Falta definir si integra el MVP","Fila completa"))))</f>
        <v/>
      </c>
    </row>
    <row r="184" customFormat="false" ht="33.75" hidden="false" customHeight="tru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4" t="str">
        <f aca="false">IF($A184="","",IF(COUNTBLANK($B184:$C184)+COUNTBLANK($E184:$H184)&gt;0,"Faltan campos",IF(AND($C184="No funcional",$D184=""),"Falta categoría",IF($K184="","Falta definir si integra el MVP","Fila completa"))))</f>
        <v/>
      </c>
    </row>
    <row r="185" customFormat="false" ht="33.75" hidden="false" customHeight="tru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4" t="str">
        <f aca="false">IF($A185="","",IF(COUNTBLANK($B185:$C185)+COUNTBLANK($E185:$H185)&gt;0,"Faltan campos",IF(AND($C185="No funcional",$D185=""),"Falta categoría",IF($K185="","Falta definir si integra el MVP","Fila completa"))))</f>
        <v/>
      </c>
    </row>
    <row r="186" customFormat="false" ht="33.75" hidden="false" customHeight="tru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4" t="str">
        <f aca="false">IF($A186="","",IF(COUNTBLANK($B186:$C186)+COUNTBLANK($E186:$H186)&gt;0,"Faltan campos",IF(AND($C186="No funcional",$D186=""),"Falta categoría",IF($K186="","Falta definir si integra el MVP","Fila completa"))))</f>
        <v/>
      </c>
    </row>
    <row r="187" customFormat="false" ht="33.75" hidden="false" customHeight="tru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4" t="str">
        <f aca="false">IF($A187="","",IF(COUNTBLANK($B187:$C187)+COUNTBLANK($E187:$H187)&gt;0,"Faltan campos",IF(AND($C187="No funcional",$D187=""),"Falta categoría",IF($K187="","Falta definir si integra el MVP","Fila completa"))))</f>
        <v/>
      </c>
    </row>
    <row r="188" customFormat="false" ht="33.75" hidden="false" customHeight="tru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4" t="str">
        <f aca="false">IF($A188="","",IF(COUNTBLANK($B188:$C188)+COUNTBLANK($E188:$H188)&gt;0,"Faltan campos",IF(AND($C188="No funcional",$D188=""),"Falta categoría",IF($K188="","Falta definir si integra el MVP","Fila completa"))))</f>
        <v/>
      </c>
    </row>
    <row r="189" customFormat="false" ht="33.75" hidden="false" customHeight="tru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4" t="str">
        <f aca="false">IF($A189="","",IF(COUNTBLANK($B189:$C189)+COUNTBLANK($E189:$H189)&gt;0,"Faltan campos",IF(AND($C189="No funcional",$D189=""),"Falta categoría",IF($K189="","Falta definir si integra el MVP","Fila completa"))))</f>
        <v/>
      </c>
    </row>
    <row r="190" customFormat="false" ht="33.75" hidden="false" customHeight="tru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4" t="str">
        <f aca="false">IF($A190="","",IF(COUNTBLANK($B190:$C190)+COUNTBLANK($E190:$H190)&gt;0,"Faltan campos",IF(AND($C190="No funcional",$D190=""),"Falta categoría",IF($K190="","Falta definir si integra el MVP","Fila completa"))))</f>
        <v/>
      </c>
    </row>
    <row r="191" customFormat="false" ht="33.75" hidden="false" customHeight="tru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4" t="str">
        <f aca="false">IF($A191="","",IF(COUNTBLANK($B191:$C191)+COUNTBLANK($E191:$H191)&gt;0,"Faltan campos",IF(AND($C191="No funcional",$D191=""),"Falta categoría",IF($K191="","Falta definir si integra el MVP","Fila completa"))))</f>
        <v/>
      </c>
    </row>
    <row r="192" customFormat="false" ht="33.75" hidden="false" customHeight="tru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4" t="str">
        <f aca="false">IF($A192="","",IF(COUNTBLANK($B192:$C192)+COUNTBLANK($E192:$H192)&gt;0,"Faltan campos",IF(AND($C192="No funcional",$D192=""),"Falta categoría",IF($K192="","Falta definir si integra el MVP","Fila completa"))))</f>
        <v/>
      </c>
    </row>
    <row r="193" customFormat="false" ht="33.75" hidden="false" customHeight="tru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4" t="str">
        <f aca="false">IF($A193="","",IF(COUNTBLANK($B193:$C193)+COUNTBLANK($E193:$H193)&gt;0,"Faltan campos",IF(AND($C193="No funcional",$D193=""),"Falta categoría",IF($K193="","Falta definir si integra el MVP","Fila completa"))))</f>
        <v/>
      </c>
    </row>
    <row r="194" customFormat="false" ht="33.75" hidden="false" customHeight="tru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4" t="str">
        <f aca="false">IF($A194="","",IF(COUNTBLANK($B194:$C194)+COUNTBLANK($E194:$H194)&gt;0,"Faltan campos",IF(AND($C194="No funcional",$D194=""),"Falta categoría",IF($K194="","Falta definir si integra el MVP","Fila completa"))))</f>
        <v/>
      </c>
    </row>
    <row r="195" customFormat="false" ht="33.75" hidden="false" customHeight="tru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4" t="str">
        <f aca="false">IF($A195="","",IF(COUNTBLANK($B195:$C195)+COUNTBLANK($E195:$H195)&gt;0,"Faltan campos",IF(AND($C195="No funcional",$D195=""),"Falta categoría",IF($K195="","Falta definir si integra el MVP","Fila completa"))))</f>
        <v/>
      </c>
    </row>
    <row r="196" customFormat="false" ht="33.75" hidden="false" customHeight="tru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4" t="str">
        <f aca="false">IF($A196="","",IF(COUNTBLANK($B196:$C196)+COUNTBLANK($E196:$H196)&gt;0,"Faltan campos",IF(AND($C196="No funcional",$D196=""),"Falta categoría",IF($K196="","Falta definir si integra el MVP","Fila completa"))))</f>
        <v/>
      </c>
    </row>
    <row r="197" customFormat="false" ht="33.75" hidden="false" customHeight="tru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4" t="str">
        <f aca="false">IF($A197="","",IF(COUNTBLANK($B197:$C197)+COUNTBLANK($E197:$H197)&gt;0,"Faltan campos",IF(AND($C197="No funcional",$D197=""),"Falta categoría",IF($K197="","Falta definir si integra el MVP","Fila completa"))))</f>
        <v/>
      </c>
    </row>
    <row r="198" customFormat="false" ht="33.75" hidden="false" customHeight="tru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4" t="str">
        <f aca="false">IF($A198="","",IF(COUNTBLANK($B198:$C198)+COUNTBLANK($E198:$H198)&gt;0,"Faltan campos",IF(AND($C198="No funcional",$D198=""),"Falta categoría",IF($K198="","Falta definir si integra el MVP","Fila completa"))))</f>
        <v/>
      </c>
    </row>
    <row r="199" customFormat="false" ht="33.75" hidden="false" customHeight="tru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4" t="str">
        <f aca="false">IF($A199="","",IF(COUNTBLANK($B199:$C199)+COUNTBLANK($E199:$H199)&gt;0,"Faltan campos",IF(AND($C199="No funcional",$D199=""),"Falta categoría",IF($K199="","Falta definir si integra el MVP","Fila completa"))))</f>
        <v/>
      </c>
    </row>
    <row r="200" customFormat="false" ht="33.75" hidden="false" customHeight="tru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4" t="str">
        <f aca="false">IF($A200="","",IF(COUNTBLANK($B200:$C200)+COUNTBLANK($E200:$H200)&gt;0,"Faltan campos",IF(AND($C200="No funcional",$D200=""),"Falta categoría",IF($K200="","Falta definir si integra el MVP","Fila completa"))))</f>
        <v/>
      </c>
    </row>
    <row r="201" customFormat="false" ht="33.75" hidden="false" customHeight="tru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4" t="str">
        <f aca="false">IF($A201="","",IF(COUNTBLANK($B201:$C201)+COUNTBLANK($E201:$H201)&gt;0,"Faltan campos",IF(AND($C201="No funcional",$D201=""),"Falta categoría",IF($K201="","Falta definir si integra el MVP","Fila completa"))))</f>
        <v/>
      </c>
    </row>
  </sheetData>
  <mergeCells count="2">
    <mergeCell ref="A1:L1"/>
    <mergeCell ref="A2:L2"/>
  </mergeCells>
  <dataValidations count="5">
    <dataValidation allowBlank="true" error="Sólo se admite Funcional o No funcional." errorStyle="stop" errorTitle="Valor no admitido" operator="between" showDropDown="false" showErrorMessage="true" showInputMessage="false" sqref="C5:C201" type="list">
      <formula1>"Funcional,No funcional"</formula1>
      <formula2>0</formula2>
    </dataValidation>
    <dataValidation allowBlank="true" error="Categoría no prevista por la clasificación de la cátedra." errorStyle="stop" errorTitle="Valor no admitido" operator="between" showDropDown="false" showErrorMessage="true" showInputMessage="false" sqref="D5:D201" type="list">
      <formula1>"Rendimiento,Fiabilidad,Seguridad,Usabilidad,Mantenibilidad,Portabilidad,Cumplimiento normativo"</formula1>
      <formula2>0</formula2>
    </dataValidation>
    <dataValidation allowBlank="true" error="Escala MoSCoW: Must, Should, Could o Won't." errorStyle="stop" errorTitle="Valor no admitido" operator="between" showDropDown="false" showErrorMessage="true" showInputMessage="false" sqref="E5:E201" type="list">
      <formula1>"Must,Should,Could,Won't"</formula1>
      <formula2>0</formula2>
    </dataValidation>
    <dataValidation allowBlank="true" error="Estados admitidos: Validado, Pendiente o Rechazado por el referente." errorStyle="stop" errorTitle="Valor no admitido" operator="between" showDropDown="false" showErrorMessage="true" showInputMessage="false" sqref="I5:I201" type="list">
      <formula1>"Validado,Pendiente,Rechazado por el referente"</formula1>
      <formula2>0</formula2>
    </dataValidation>
    <dataValidation allowBlank="true" error="Responda Sí o No." errorStyle="stop" errorTitle="Valor no admitido" operator="between" showDropDown="false" showErrorMessage="true" showInputMessage="false" sqref="K5:K201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24"/>
  </cols>
  <sheetData>
    <row r="1" customFormat="false" ht="19.5" hidden="false" customHeight="true" outlineLevel="0" collapsed="false">
      <c r="A1" s="1" t="s">
        <v>48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49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12" t="s">
        <v>50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</row>
    <row r="5" customFormat="false" ht="60" hidden="false" customHeight="true" outlineLevel="0" collapsed="false">
      <c r="A5" s="13" t="s">
        <v>56</v>
      </c>
      <c r="B5" s="13" t="s">
        <v>57</v>
      </c>
      <c r="C5" s="13" t="s">
        <v>58</v>
      </c>
      <c r="D5" s="13" t="s">
        <v>59</v>
      </c>
      <c r="E5" s="13"/>
      <c r="F5" s="14" t="str">
        <f aca="false">IF($A5="","",IF(AND($D5="",$E5=""),"Hallazgo sin destino",IF($D5="","Sin requisito, justificado","Deriva requisito")))</f>
        <v>Deriva requisito</v>
      </c>
    </row>
    <row r="6" customFormat="false" ht="33.75" hidden="false" customHeight="true" outlineLevel="0" collapsed="false">
      <c r="A6" s="15"/>
      <c r="B6" s="15"/>
      <c r="C6" s="15"/>
      <c r="D6" s="15"/>
      <c r="E6" s="15"/>
      <c r="F6" s="14" t="str">
        <f aca="false">IF($A6="","",IF(AND($D6="",$E6=""),"Hallazgo sin destino",IF($D6="","Sin requisito, justificado","Deriva requisito")))</f>
        <v/>
      </c>
    </row>
    <row r="7" customFormat="false" ht="33.75" hidden="false" customHeight="true" outlineLevel="0" collapsed="false">
      <c r="A7" s="16"/>
      <c r="B7" s="16"/>
      <c r="C7" s="16"/>
      <c r="D7" s="16"/>
      <c r="E7" s="16"/>
      <c r="F7" s="14" t="str">
        <f aca="false">IF($A7="","",IF(AND($D7="",$E7=""),"Hallazgo sin destino",IF($D7="","Sin requisito, justificado","Deriva requisito")))</f>
        <v/>
      </c>
    </row>
    <row r="8" customFormat="false" ht="33.75" hidden="false" customHeight="true" outlineLevel="0" collapsed="false">
      <c r="A8" s="15"/>
      <c r="B8" s="15"/>
      <c r="C8" s="15"/>
      <c r="D8" s="15"/>
      <c r="E8" s="15"/>
      <c r="F8" s="14" t="str">
        <f aca="false">IF($A8="","",IF(AND($D8="",$E8=""),"Hallazgo sin destino",IF($D8="","Sin requisito, justificado","Deriva requisito")))</f>
        <v/>
      </c>
    </row>
    <row r="9" customFormat="false" ht="33.75" hidden="false" customHeight="true" outlineLevel="0" collapsed="false">
      <c r="A9" s="16"/>
      <c r="B9" s="16"/>
      <c r="C9" s="16"/>
      <c r="D9" s="16"/>
      <c r="E9" s="16"/>
      <c r="F9" s="14" t="str">
        <f aca="false">IF($A9="","",IF(AND($D9="",$E9=""),"Hallazgo sin destino",IF($D9="","Sin requisito, justificado","Deriva requisito")))</f>
        <v/>
      </c>
    </row>
    <row r="10" customFormat="false" ht="33.75" hidden="false" customHeight="true" outlineLevel="0" collapsed="false">
      <c r="A10" s="15"/>
      <c r="B10" s="15"/>
      <c r="C10" s="15"/>
      <c r="D10" s="15"/>
      <c r="E10" s="15"/>
      <c r="F10" s="14" t="str">
        <f aca="false">IF($A10="","",IF(AND($D10="",$E10=""),"Hallazgo sin destino",IF($D10="","Sin requisito, justificado","Deriva requisito")))</f>
        <v/>
      </c>
    </row>
    <row r="11" customFormat="false" ht="33.75" hidden="false" customHeight="true" outlineLevel="0" collapsed="false">
      <c r="A11" s="16"/>
      <c r="B11" s="16"/>
      <c r="C11" s="16"/>
      <c r="D11" s="16"/>
      <c r="E11" s="16"/>
      <c r="F11" s="14" t="str">
        <f aca="false">IF($A11="","",IF(AND($D11="",$E11=""),"Hallazgo sin destino",IF($D11="","Sin requisito, justificado","Deriva requisito")))</f>
        <v/>
      </c>
    </row>
    <row r="12" customFormat="false" ht="33.75" hidden="false" customHeight="true" outlineLevel="0" collapsed="false">
      <c r="A12" s="15"/>
      <c r="B12" s="15"/>
      <c r="C12" s="15"/>
      <c r="D12" s="15"/>
      <c r="E12" s="15"/>
      <c r="F12" s="14" t="str">
        <f aca="false">IF($A12="","",IF(AND($D12="",$E12=""),"Hallazgo sin destino",IF($D12="","Sin requisito, justificado","Deriva requisito")))</f>
        <v/>
      </c>
    </row>
    <row r="13" customFormat="false" ht="33.75" hidden="false" customHeight="true" outlineLevel="0" collapsed="false">
      <c r="A13" s="16"/>
      <c r="B13" s="16"/>
      <c r="C13" s="16"/>
      <c r="D13" s="16"/>
      <c r="E13" s="16"/>
      <c r="F13" s="14" t="str">
        <f aca="false">IF($A13="","",IF(AND($D13="",$E13=""),"Hallazgo sin destino",IF($D13="","Sin requisito, justificado","Deriva requisito")))</f>
        <v/>
      </c>
    </row>
    <row r="14" customFormat="false" ht="33.75" hidden="false" customHeight="true" outlineLevel="0" collapsed="false">
      <c r="A14" s="15"/>
      <c r="B14" s="15"/>
      <c r="C14" s="15"/>
      <c r="D14" s="15"/>
      <c r="E14" s="15"/>
      <c r="F14" s="14" t="str">
        <f aca="false">IF($A14="","",IF(AND($D14="",$E14=""),"Hallazgo sin destino",IF($D14="","Sin requisito, justificado","Deriva requisito")))</f>
        <v/>
      </c>
    </row>
    <row r="15" customFormat="false" ht="33.75" hidden="false" customHeight="true" outlineLevel="0" collapsed="false">
      <c r="A15" s="16"/>
      <c r="B15" s="16"/>
      <c r="C15" s="16"/>
      <c r="D15" s="16"/>
      <c r="E15" s="16"/>
      <c r="F15" s="14" t="str">
        <f aca="false">IF($A15="","",IF(AND($D15="",$E15=""),"Hallazgo sin destino",IF($D15="","Sin requisito, justificado","Deriva requisito")))</f>
        <v/>
      </c>
    </row>
    <row r="16" customFormat="false" ht="33.75" hidden="false" customHeight="true" outlineLevel="0" collapsed="false">
      <c r="A16" s="15"/>
      <c r="B16" s="15"/>
      <c r="C16" s="15"/>
      <c r="D16" s="15"/>
      <c r="E16" s="15"/>
      <c r="F16" s="14" t="str">
        <f aca="false">IF($A16="","",IF(AND($D16="",$E16=""),"Hallazgo sin destino",IF($D16="","Sin requisito, justificado","Deriva requisito")))</f>
        <v/>
      </c>
    </row>
    <row r="17" customFormat="false" ht="33.75" hidden="false" customHeight="true" outlineLevel="0" collapsed="false">
      <c r="A17" s="16"/>
      <c r="B17" s="16"/>
      <c r="C17" s="16"/>
      <c r="D17" s="16"/>
      <c r="E17" s="16"/>
      <c r="F17" s="14" t="str">
        <f aca="false">IF($A17="","",IF(AND($D17="",$E17=""),"Hallazgo sin destino",IF($D17="","Sin requisito, justificado","Deriva requisito")))</f>
        <v/>
      </c>
    </row>
    <row r="18" customFormat="false" ht="33.75" hidden="false" customHeight="true" outlineLevel="0" collapsed="false">
      <c r="A18" s="15"/>
      <c r="B18" s="15"/>
      <c r="C18" s="15"/>
      <c r="D18" s="15"/>
      <c r="E18" s="15"/>
      <c r="F18" s="14" t="str">
        <f aca="false">IF($A18="","",IF(AND($D18="",$E18=""),"Hallazgo sin destino",IF($D18="","Sin requisito, justificado","Deriva requisito")))</f>
        <v/>
      </c>
    </row>
    <row r="19" customFormat="false" ht="33.75" hidden="false" customHeight="true" outlineLevel="0" collapsed="false">
      <c r="A19" s="16"/>
      <c r="B19" s="16"/>
      <c r="C19" s="16"/>
      <c r="D19" s="16"/>
      <c r="E19" s="16"/>
      <c r="F19" s="14" t="str">
        <f aca="false">IF($A19="","",IF(AND($D19="",$E19=""),"Hallazgo sin destino",IF($D19="","Sin requisito, justificado","Deriva requisito")))</f>
        <v/>
      </c>
    </row>
    <row r="20" customFormat="false" ht="33.75" hidden="false" customHeight="true" outlineLevel="0" collapsed="false">
      <c r="A20" s="15"/>
      <c r="B20" s="15"/>
      <c r="C20" s="15"/>
      <c r="D20" s="15"/>
      <c r="E20" s="15"/>
      <c r="F20" s="14" t="str">
        <f aca="false">IF($A20="","",IF(AND($D20="",$E20=""),"Hallazgo sin destino",IF($D20="","Sin requisito, justificado","Deriva requisito")))</f>
        <v/>
      </c>
    </row>
    <row r="21" customFormat="false" ht="33.75" hidden="false" customHeight="true" outlineLevel="0" collapsed="false">
      <c r="A21" s="16"/>
      <c r="B21" s="16"/>
      <c r="C21" s="16"/>
      <c r="D21" s="16"/>
      <c r="E21" s="16"/>
      <c r="F21" s="14" t="str">
        <f aca="false">IF($A21="","",IF(AND($D21="",$E21=""),"Hallazgo sin destino",IF($D21="","Sin requisito, justificado","Deriva requisito")))</f>
        <v/>
      </c>
    </row>
    <row r="22" customFormat="false" ht="33.75" hidden="false" customHeight="true" outlineLevel="0" collapsed="false">
      <c r="A22" s="15"/>
      <c r="B22" s="15"/>
      <c r="C22" s="15"/>
      <c r="D22" s="15"/>
      <c r="E22" s="15"/>
      <c r="F22" s="14" t="str">
        <f aca="false">IF($A22="","",IF(AND($D22="",$E22=""),"Hallazgo sin destino",IF($D22="","Sin requisito, justificado","Deriva requisito")))</f>
        <v/>
      </c>
    </row>
    <row r="23" customFormat="false" ht="33.75" hidden="false" customHeight="true" outlineLevel="0" collapsed="false">
      <c r="A23" s="16"/>
      <c r="B23" s="16"/>
      <c r="C23" s="16"/>
      <c r="D23" s="16"/>
      <c r="E23" s="16"/>
      <c r="F23" s="14" t="str">
        <f aca="false">IF($A23="","",IF(AND($D23="",$E23=""),"Hallazgo sin destino",IF($D23="","Sin requisito, justificado","Deriva requisito")))</f>
        <v/>
      </c>
    </row>
    <row r="24" customFormat="false" ht="33.75" hidden="false" customHeight="true" outlineLevel="0" collapsed="false">
      <c r="A24" s="15"/>
      <c r="B24" s="15"/>
      <c r="C24" s="15"/>
      <c r="D24" s="15"/>
      <c r="E24" s="15"/>
      <c r="F24" s="14" t="str">
        <f aca="false">IF($A24="","",IF(AND($D24="",$E24=""),"Hallazgo sin destino",IF($D24="","Sin requisito, justificado","Deriva requisito")))</f>
        <v/>
      </c>
    </row>
    <row r="25" customFormat="false" ht="33.75" hidden="false" customHeight="true" outlineLevel="0" collapsed="false">
      <c r="A25" s="16"/>
      <c r="B25" s="16"/>
      <c r="C25" s="16"/>
      <c r="D25" s="16"/>
      <c r="E25" s="16"/>
      <c r="F25" s="14" t="str">
        <f aca="false">IF($A25="","",IF(AND($D25="",$E25=""),"Hallazgo sin destino",IF($D25="","Sin requisito, justificado","Deriva requisito")))</f>
        <v/>
      </c>
    </row>
    <row r="26" customFormat="false" ht="33.75" hidden="false" customHeight="true" outlineLevel="0" collapsed="false">
      <c r="A26" s="15"/>
      <c r="B26" s="15"/>
      <c r="C26" s="15"/>
      <c r="D26" s="15"/>
      <c r="E26" s="15"/>
      <c r="F26" s="14" t="str">
        <f aca="false">IF($A26="","",IF(AND($D26="",$E26=""),"Hallazgo sin destino",IF($D26="","Sin requisito, justificado","Deriva requisito")))</f>
        <v/>
      </c>
    </row>
    <row r="27" customFormat="false" ht="33.75" hidden="false" customHeight="true" outlineLevel="0" collapsed="false">
      <c r="A27" s="16"/>
      <c r="B27" s="16"/>
      <c r="C27" s="16"/>
      <c r="D27" s="16"/>
      <c r="E27" s="16"/>
      <c r="F27" s="14" t="str">
        <f aca="false">IF($A27="","",IF(AND($D27="",$E27=""),"Hallazgo sin destino",IF($D27="","Sin requisito, justificado","Deriva requisito")))</f>
        <v/>
      </c>
    </row>
    <row r="28" customFormat="false" ht="33.75" hidden="false" customHeight="true" outlineLevel="0" collapsed="false">
      <c r="A28" s="15"/>
      <c r="B28" s="15"/>
      <c r="C28" s="15"/>
      <c r="D28" s="15"/>
      <c r="E28" s="15"/>
      <c r="F28" s="14" t="str">
        <f aca="false">IF($A28="","",IF(AND($D28="",$E28=""),"Hallazgo sin destino",IF($D28="","Sin requisito, justificado","Deriva requisito")))</f>
        <v/>
      </c>
    </row>
    <row r="29" customFormat="false" ht="33.75" hidden="false" customHeight="true" outlineLevel="0" collapsed="false">
      <c r="A29" s="16"/>
      <c r="B29" s="16"/>
      <c r="C29" s="16"/>
      <c r="D29" s="16"/>
      <c r="E29" s="16"/>
      <c r="F29" s="14" t="str">
        <f aca="false">IF($A29="","",IF(AND($D29="",$E29=""),"Hallazgo sin destino",IF($D29="","Sin requisito, justificado","Deriva requisito")))</f>
        <v/>
      </c>
    </row>
    <row r="30" customFormat="false" ht="33.75" hidden="false" customHeight="true" outlineLevel="0" collapsed="false">
      <c r="A30" s="15"/>
      <c r="B30" s="15"/>
      <c r="C30" s="15"/>
      <c r="D30" s="15"/>
      <c r="E30" s="15"/>
      <c r="F30" s="14" t="str">
        <f aca="false">IF($A30="","",IF(AND($D30="",$E30=""),"Hallazgo sin destino",IF($D30="","Sin requisito, justificado","Deriva requisito")))</f>
        <v/>
      </c>
    </row>
    <row r="31" customFormat="false" ht="33.75" hidden="false" customHeight="true" outlineLevel="0" collapsed="false">
      <c r="A31" s="16"/>
      <c r="B31" s="16"/>
      <c r="C31" s="16"/>
      <c r="D31" s="16"/>
      <c r="E31" s="16"/>
      <c r="F31" s="14" t="str">
        <f aca="false">IF($A31="","",IF(AND($D31="",$E31=""),"Hallazgo sin destino",IF($D31="","Sin requisito, justificado","Deriva requisito")))</f>
        <v/>
      </c>
    </row>
    <row r="32" customFormat="false" ht="33.75" hidden="false" customHeight="true" outlineLevel="0" collapsed="false">
      <c r="A32" s="15"/>
      <c r="B32" s="15"/>
      <c r="C32" s="15"/>
      <c r="D32" s="15"/>
      <c r="E32" s="15"/>
      <c r="F32" s="14" t="str">
        <f aca="false">IF($A32="","",IF(AND($D32="",$E32=""),"Hallazgo sin destino",IF($D32="","Sin requisito, justificado","Deriva requisito")))</f>
        <v/>
      </c>
    </row>
    <row r="33" customFormat="false" ht="33.75" hidden="false" customHeight="true" outlineLevel="0" collapsed="false">
      <c r="A33" s="16"/>
      <c r="B33" s="16"/>
      <c r="C33" s="16"/>
      <c r="D33" s="16"/>
      <c r="E33" s="16"/>
      <c r="F33" s="14" t="str">
        <f aca="false">IF($A33="","",IF(AND($D33="",$E33=""),"Hallazgo sin destino",IF($D33="","Sin requisito, justificado","Deriva requisito")))</f>
        <v/>
      </c>
    </row>
    <row r="34" customFormat="false" ht="33.75" hidden="false" customHeight="true" outlineLevel="0" collapsed="false">
      <c r="A34" s="15"/>
      <c r="B34" s="15"/>
      <c r="C34" s="15"/>
      <c r="D34" s="15"/>
      <c r="E34" s="15"/>
      <c r="F34" s="14" t="str">
        <f aca="false">IF($A34="","",IF(AND($D34="",$E34=""),"Hallazgo sin destino",IF($D34="","Sin requisito, justificado","Deriva requisito")))</f>
        <v/>
      </c>
    </row>
    <row r="35" customFormat="false" ht="33.75" hidden="false" customHeight="true" outlineLevel="0" collapsed="false">
      <c r="A35" s="16"/>
      <c r="B35" s="16"/>
      <c r="C35" s="16"/>
      <c r="D35" s="16"/>
      <c r="E35" s="16"/>
      <c r="F35" s="14" t="str">
        <f aca="false">IF($A35="","",IF(AND($D35="",$E35=""),"Hallazgo sin destino",IF($D35="","Sin requisito, justificado","Deriva requisito")))</f>
        <v/>
      </c>
    </row>
    <row r="36" customFormat="false" ht="33.75" hidden="false" customHeight="true" outlineLevel="0" collapsed="false">
      <c r="A36" s="15"/>
      <c r="B36" s="15"/>
      <c r="C36" s="15"/>
      <c r="D36" s="15"/>
      <c r="E36" s="15"/>
      <c r="F36" s="14" t="str">
        <f aca="false">IF($A36="","",IF(AND($D36="",$E36=""),"Hallazgo sin destino",IF($D36="","Sin requisito, justificado","Deriva requisito")))</f>
        <v/>
      </c>
    </row>
    <row r="37" customFormat="false" ht="33.75" hidden="false" customHeight="true" outlineLevel="0" collapsed="false">
      <c r="A37" s="16"/>
      <c r="B37" s="16"/>
      <c r="C37" s="16"/>
      <c r="D37" s="16"/>
      <c r="E37" s="16"/>
      <c r="F37" s="14" t="str">
        <f aca="false">IF($A37="","",IF(AND($D37="",$E37=""),"Hallazgo sin destino",IF($D37="","Sin requisito, justificado","Deriva requisito")))</f>
        <v/>
      </c>
    </row>
    <row r="38" customFormat="false" ht="33.75" hidden="false" customHeight="true" outlineLevel="0" collapsed="false">
      <c r="A38" s="15"/>
      <c r="B38" s="15"/>
      <c r="C38" s="15"/>
      <c r="D38" s="15"/>
      <c r="E38" s="15"/>
      <c r="F38" s="14" t="str">
        <f aca="false">IF($A38="","",IF(AND($D38="",$E38=""),"Hallazgo sin destino",IF($D38="","Sin requisito, justificado","Deriva requisito")))</f>
        <v/>
      </c>
    </row>
    <row r="39" customFormat="false" ht="33.75" hidden="false" customHeight="true" outlineLevel="0" collapsed="false">
      <c r="A39" s="16"/>
      <c r="B39" s="16"/>
      <c r="C39" s="16"/>
      <c r="D39" s="16"/>
      <c r="E39" s="16"/>
      <c r="F39" s="14" t="str">
        <f aca="false">IF($A39="","",IF(AND($D39="",$E39=""),"Hallazgo sin destino",IF($D39="","Sin requisito, justificado","Deriva requisito")))</f>
        <v/>
      </c>
    </row>
    <row r="40" customFormat="false" ht="33.75" hidden="false" customHeight="true" outlineLevel="0" collapsed="false">
      <c r="A40" s="15"/>
      <c r="B40" s="15"/>
      <c r="C40" s="15"/>
      <c r="D40" s="15"/>
      <c r="E40" s="15"/>
      <c r="F40" s="14" t="str">
        <f aca="false">IF($A40="","",IF(AND($D40="",$E40=""),"Hallazgo sin destino",IF($D40="","Sin requisito, justificado","Deriva requisito")))</f>
        <v/>
      </c>
    </row>
    <row r="41" customFormat="false" ht="33.75" hidden="false" customHeight="true" outlineLevel="0" collapsed="false">
      <c r="A41" s="16"/>
      <c r="B41" s="16"/>
      <c r="C41" s="16"/>
      <c r="D41" s="16"/>
      <c r="E41" s="16"/>
      <c r="F41" s="14" t="str">
        <f aca="false">IF($A41="","",IF(AND($D41="",$E41=""),"Hallazgo sin destino",IF($D41="","Sin requisito, justificado","Deriva requisito")))</f>
        <v/>
      </c>
    </row>
    <row r="42" customFormat="false" ht="33.75" hidden="false" customHeight="true" outlineLevel="0" collapsed="false">
      <c r="A42" s="15"/>
      <c r="B42" s="15"/>
      <c r="C42" s="15"/>
      <c r="D42" s="15"/>
      <c r="E42" s="15"/>
      <c r="F42" s="14" t="str">
        <f aca="false">IF($A42="","",IF(AND($D42="",$E42=""),"Hallazgo sin destino",IF($D42="","Sin requisito, justificado","Deriva requisito")))</f>
        <v/>
      </c>
    </row>
    <row r="43" customFormat="false" ht="33.75" hidden="false" customHeight="true" outlineLevel="0" collapsed="false">
      <c r="A43" s="16"/>
      <c r="B43" s="16"/>
      <c r="C43" s="16"/>
      <c r="D43" s="16"/>
      <c r="E43" s="16"/>
      <c r="F43" s="14" t="str">
        <f aca="false">IF($A43="","",IF(AND($D43="",$E43=""),"Hallazgo sin destino",IF($D43="","Sin requisito, justificado","Deriva requisito")))</f>
        <v/>
      </c>
    </row>
    <row r="44" customFormat="false" ht="33.75" hidden="false" customHeight="true" outlineLevel="0" collapsed="false">
      <c r="A44" s="15"/>
      <c r="B44" s="15"/>
      <c r="C44" s="15"/>
      <c r="D44" s="15"/>
      <c r="E44" s="15"/>
      <c r="F44" s="14" t="str">
        <f aca="false">IF($A44="","",IF(AND($D44="",$E44=""),"Hallazgo sin destino",IF($D44="","Sin requisito, justificado","Deriva requisito")))</f>
        <v/>
      </c>
    </row>
    <row r="45" customFormat="false" ht="33.75" hidden="false" customHeight="true" outlineLevel="0" collapsed="false">
      <c r="A45" s="16"/>
      <c r="B45" s="16"/>
      <c r="C45" s="16"/>
      <c r="D45" s="16"/>
      <c r="E45" s="16"/>
      <c r="F45" s="14" t="str">
        <f aca="false">IF($A45="","",IF(AND($D45="",$E45=""),"Hallazgo sin destino",IF($D45="","Sin requisito, justificado","Deriva requisito")))</f>
        <v/>
      </c>
    </row>
    <row r="46" customFormat="false" ht="33.75" hidden="false" customHeight="true" outlineLevel="0" collapsed="false">
      <c r="A46" s="15"/>
      <c r="B46" s="15"/>
      <c r="C46" s="15"/>
      <c r="D46" s="15"/>
      <c r="E46" s="15"/>
      <c r="F46" s="14" t="str">
        <f aca="false">IF($A46="","",IF(AND($D46="",$E46=""),"Hallazgo sin destino",IF($D46="","Sin requisito, justificado","Deriva requisito")))</f>
        <v/>
      </c>
    </row>
    <row r="47" customFormat="false" ht="33.75" hidden="false" customHeight="true" outlineLevel="0" collapsed="false">
      <c r="A47" s="16"/>
      <c r="B47" s="16"/>
      <c r="C47" s="16"/>
      <c r="D47" s="16"/>
      <c r="E47" s="16"/>
      <c r="F47" s="14" t="str">
        <f aca="false">IF($A47="","",IF(AND($D47="",$E47=""),"Hallazgo sin destino",IF($D47="","Sin requisito, justificado","Deriva requisito")))</f>
        <v/>
      </c>
    </row>
    <row r="48" customFormat="false" ht="33.75" hidden="false" customHeight="true" outlineLevel="0" collapsed="false">
      <c r="A48" s="15"/>
      <c r="B48" s="15"/>
      <c r="C48" s="15"/>
      <c r="D48" s="15"/>
      <c r="E48" s="15"/>
      <c r="F48" s="14" t="str">
        <f aca="false">IF($A48="","",IF(AND($D48="",$E48=""),"Hallazgo sin destino",IF($D48="","Sin requisito, justificado","Deriva requisito")))</f>
        <v/>
      </c>
    </row>
    <row r="49" customFormat="false" ht="33.75" hidden="false" customHeight="true" outlineLevel="0" collapsed="false">
      <c r="A49" s="16"/>
      <c r="B49" s="16"/>
      <c r="C49" s="16"/>
      <c r="D49" s="16"/>
      <c r="E49" s="16"/>
      <c r="F49" s="14" t="str">
        <f aca="false">IF($A49="","",IF(AND($D49="",$E49=""),"Hallazgo sin destino",IF($D49="","Sin requisito, justificado","Deriva requisito")))</f>
        <v/>
      </c>
    </row>
    <row r="50" customFormat="false" ht="33.75" hidden="false" customHeight="true" outlineLevel="0" collapsed="false">
      <c r="A50" s="15"/>
      <c r="B50" s="15"/>
      <c r="C50" s="15"/>
      <c r="D50" s="15"/>
      <c r="E50" s="15"/>
      <c r="F50" s="14" t="str">
        <f aca="false">IF($A50="","",IF(AND($D50="",$E50=""),"Hallazgo sin destino",IF($D50="","Sin requisito, justificado","Deriva requisito")))</f>
        <v/>
      </c>
    </row>
    <row r="51" customFormat="false" ht="33.75" hidden="false" customHeight="true" outlineLevel="0" collapsed="false">
      <c r="A51" s="16"/>
      <c r="B51" s="16"/>
      <c r="C51" s="16"/>
      <c r="D51" s="16"/>
      <c r="E51" s="16"/>
      <c r="F51" s="14" t="str">
        <f aca="false">IF($A51="","",IF(AND($D51="",$E51=""),"Hallazgo sin destino",IF($D51="","Sin requisito, justificado","Deriva requisito")))</f>
        <v/>
      </c>
    </row>
    <row r="52" customFormat="false" ht="33.75" hidden="false" customHeight="true" outlineLevel="0" collapsed="false">
      <c r="A52" s="15"/>
      <c r="B52" s="15"/>
      <c r="C52" s="15"/>
      <c r="D52" s="15"/>
      <c r="E52" s="15"/>
      <c r="F52" s="14" t="str">
        <f aca="false">IF($A52="","",IF(AND($D52="",$E52=""),"Hallazgo sin destino",IF($D52="","Sin requisito, justificado","Deriva requisito")))</f>
        <v/>
      </c>
    </row>
    <row r="53" customFormat="false" ht="33.75" hidden="false" customHeight="true" outlineLevel="0" collapsed="false">
      <c r="A53" s="16"/>
      <c r="B53" s="16"/>
      <c r="C53" s="16"/>
      <c r="D53" s="16"/>
      <c r="E53" s="16"/>
      <c r="F53" s="14" t="str">
        <f aca="false">IF($A53="","",IF(AND($D53="",$E53=""),"Hallazgo sin destino",IF($D53="","Sin requisito, justificado","Deriva requisito")))</f>
        <v/>
      </c>
    </row>
    <row r="54" customFormat="false" ht="33.75" hidden="false" customHeight="true" outlineLevel="0" collapsed="false">
      <c r="A54" s="15"/>
      <c r="B54" s="15"/>
      <c r="C54" s="15"/>
      <c r="D54" s="15"/>
      <c r="E54" s="15"/>
      <c r="F54" s="14" t="str">
        <f aca="false">IF($A54="","",IF(AND($D54="",$E54=""),"Hallazgo sin destino",IF($D54="","Sin requisito, justificado","Deriva requisito")))</f>
        <v/>
      </c>
    </row>
    <row r="55" customFormat="false" ht="33.75" hidden="false" customHeight="true" outlineLevel="0" collapsed="false">
      <c r="A55" s="16"/>
      <c r="B55" s="16"/>
      <c r="C55" s="16"/>
      <c r="D55" s="16"/>
      <c r="E55" s="16"/>
      <c r="F55" s="14" t="str">
        <f aca="false">IF($A55="","",IF(AND($D55="",$E55=""),"Hallazgo sin destino",IF($D55="","Sin requisito, justificado","Deriva requisito")))</f>
        <v/>
      </c>
    </row>
    <row r="56" customFormat="false" ht="33.75" hidden="false" customHeight="true" outlineLevel="0" collapsed="false">
      <c r="A56" s="15"/>
      <c r="B56" s="15"/>
      <c r="C56" s="15"/>
      <c r="D56" s="15"/>
      <c r="E56" s="15"/>
      <c r="F56" s="14" t="str">
        <f aca="false">IF($A56="","",IF(AND($D56="",$E56=""),"Hallazgo sin destino",IF($D56="","Sin requisito, justificado","Deriva requisito")))</f>
        <v/>
      </c>
    </row>
    <row r="57" customFormat="false" ht="33.75" hidden="false" customHeight="true" outlineLevel="0" collapsed="false">
      <c r="A57" s="16"/>
      <c r="B57" s="16"/>
      <c r="C57" s="16"/>
      <c r="D57" s="16"/>
      <c r="E57" s="16"/>
      <c r="F57" s="14" t="str">
        <f aca="false">IF($A57="","",IF(AND($D57="",$E57=""),"Hallazgo sin destino",IF($D57="","Sin requisito, justificado","Deriva requisito")))</f>
        <v/>
      </c>
    </row>
    <row r="58" customFormat="false" ht="33.75" hidden="false" customHeight="true" outlineLevel="0" collapsed="false">
      <c r="A58" s="15"/>
      <c r="B58" s="15"/>
      <c r="C58" s="15"/>
      <c r="D58" s="15"/>
      <c r="E58" s="15"/>
      <c r="F58" s="14" t="str">
        <f aca="false">IF($A58="","",IF(AND($D58="",$E58=""),"Hallazgo sin destino",IF($D58="","Sin requisito, justificado","Deriva requisito")))</f>
        <v/>
      </c>
    </row>
    <row r="59" customFormat="false" ht="33.75" hidden="false" customHeight="true" outlineLevel="0" collapsed="false">
      <c r="A59" s="16"/>
      <c r="B59" s="16"/>
      <c r="C59" s="16"/>
      <c r="D59" s="16"/>
      <c r="E59" s="16"/>
      <c r="F59" s="14" t="str">
        <f aca="false">IF($A59="","",IF(AND($D59="",$E59=""),"Hallazgo sin destino",IF($D59="","Sin requisito, justificado","Deriva requisito")))</f>
        <v/>
      </c>
    </row>
    <row r="60" customFormat="false" ht="33.75" hidden="false" customHeight="true" outlineLevel="0" collapsed="false">
      <c r="A60" s="15"/>
      <c r="B60" s="15"/>
      <c r="C60" s="15"/>
      <c r="D60" s="15"/>
      <c r="E60" s="15"/>
      <c r="F60" s="14" t="str">
        <f aca="false">IF($A60="","",IF(AND($D60="",$E60=""),"Hallazgo sin destino",IF($D60="","Sin requisito, justificado","Deriva requisito")))</f>
        <v/>
      </c>
    </row>
    <row r="61" customFormat="false" ht="33.75" hidden="false" customHeight="true" outlineLevel="0" collapsed="false">
      <c r="A61" s="16"/>
      <c r="B61" s="16"/>
      <c r="C61" s="16"/>
      <c r="D61" s="16"/>
      <c r="E61" s="16"/>
      <c r="F61" s="14" t="str">
        <f aca="false">IF($A61="","",IF(AND($D61="",$E61=""),"Hallazgo sin destino",IF($D61="","Sin requisito, justificado","Deriva requisito")))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32"/>
  </cols>
  <sheetData>
    <row r="1" customFormat="false" ht="19.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61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12" t="s">
        <v>62</v>
      </c>
      <c r="B4" s="12" t="s">
        <v>63</v>
      </c>
      <c r="C4" s="12" t="s">
        <v>64</v>
      </c>
      <c r="D4" s="12" t="s">
        <v>65</v>
      </c>
      <c r="E4" s="12" t="s">
        <v>66</v>
      </c>
      <c r="F4" s="12" t="s">
        <v>67</v>
      </c>
      <c r="G4" s="12" t="s">
        <v>68</v>
      </c>
    </row>
    <row r="5" customFormat="false" ht="61.5" hidden="false" customHeight="true" outlineLevel="0" collapsed="false">
      <c r="A5" s="13" t="s">
        <v>69</v>
      </c>
      <c r="B5" s="13" t="s">
        <v>70</v>
      </c>
      <c r="C5" s="13" t="s">
        <v>71</v>
      </c>
      <c r="D5" s="13" t="s">
        <v>72</v>
      </c>
      <c r="E5" s="13" t="s">
        <v>73</v>
      </c>
      <c r="F5" s="13" t="s">
        <v>74</v>
      </c>
      <c r="G5" s="13" t="s">
        <v>75</v>
      </c>
    </row>
    <row r="6" customFormat="false" ht="33.75" hidden="false" customHeight="true" outlineLevel="0" collapsed="false">
      <c r="A6" s="15"/>
      <c r="B6" s="15"/>
      <c r="C6" s="15"/>
      <c r="D6" s="15"/>
      <c r="E6" s="15"/>
      <c r="F6" s="15"/>
      <c r="G6" s="15"/>
    </row>
    <row r="7" customFormat="false" ht="33.75" hidden="false" customHeight="true" outlineLevel="0" collapsed="false">
      <c r="A7" s="16"/>
      <c r="B7" s="16"/>
      <c r="C7" s="16"/>
      <c r="D7" s="16"/>
      <c r="E7" s="16"/>
      <c r="F7" s="16"/>
      <c r="G7" s="16"/>
    </row>
    <row r="8" customFormat="false" ht="33.75" hidden="false" customHeight="true" outlineLevel="0" collapsed="false">
      <c r="A8" s="15"/>
      <c r="B8" s="15"/>
      <c r="C8" s="15"/>
      <c r="D8" s="15"/>
      <c r="E8" s="15"/>
      <c r="F8" s="15"/>
      <c r="G8" s="15"/>
    </row>
    <row r="9" customFormat="false" ht="33.75" hidden="false" customHeight="true" outlineLevel="0" collapsed="false">
      <c r="A9" s="16"/>
      <c r="B9" s="16"/>
      <c r="C9" s="16"/>
      <c r="D9" s="16"/>
      <c r="E9" s="16"/>
      <c r="F9" s="16"/>
      <c r="G9" s="16"/>
    </row>
    <row r="10" customFormat="false" ht="33.75" hidden="false" customHeight="true" outlineLevel="0" collapsed="false">
      <c r="A10" s="15"/>
      <c r="B10" s="15"/>
      <c r="C10" s="15"/>
      <c r="D10" s="15"/>
      <c r="E10" s="15"/>
      <c r="F10" s="15"/>
      <c r="G10" s="15"/>
    </row>
    <row r="11" customFormat="false" ht="33.75" hidden="false" customHeight="true" outlineLevel="0" collapsed="false">
      <c r="A11" s="16"/>
      <c r="B11" s="16"/>
      <c r="C11" s="16"/>
      <c r="D11" s="16"/>
      <c r="E11" s="16"/>
      <c r="F11" s="16"/>
      <c r="G11" s="16"/>
    </row>
    <row r="12" customFormat="false" ht="33.75" hidden="false" customHeight="true" outlineLevel="0" collapsed="false">
      <c r="A12" s="15"/>
      <c r="B12" s="15"/>
      <c r="C12" s="15"/>
      <c r="D12" s="15"/>
      <c r="E12" s="15"/>
      <c r="F12" s="15"/>
      <c r="G12" s="15"/>
    </row>
    <row r="13" customFormat="false" ht="33.75" hidden="false" customHeight="true" outlineLevel="0" collapsed="false">
      <c r="A13" s="16"/>
      <c r="B13" s="16"/>
      <c r="C13" s="16"/>
      <c r="D13" s="16"/>
      <c r="E13" s="16"/>
      <c r="F13" s="16"/>
      <c r="G13" s="16"/>
    </row>
    <row r="14" customFormat="false" ht="33.75" hidden="false" customHeight="true" outlineLevel="0" collapsed="false">
      <c r="A14" s="15"/>
      <c r="B14" s="15"/>
      <c r="C14" s="15"/>
      <c r="D14" s="15"/>
      <c r="E14" s="15"/>
      <c r="F14" s="15"/>
      <c r="G14" s="15"/>
    </row>
    <row r="15" customFormat="false" ht="33.75" hidden="false" customHeight="true" outlineLevel="0" collapsed="false">
      <c r="A15" s="16"/>
      <c r="B15" s="16"/>
      <c r="C15" s="16"/>
      <c r="D15" s="16"/>
      <c r="E15" s="16"/>
      <c r="F15" s="16"/>
      <c r="G15" s="16"/>
    </row>
    <row r="16" customFormat="false" ht="33.75" hidden="false" customHeight="true" outlineLevel="0" collapsed="false">
      <c r="A16" s="15"/>
      <c r="B16" s="15"/>
      <c r="C16" s="15"/>
      <c r="D16" s="15"/>
      <c r="E16" s="15"/>
      <c r="F16" s="15"/>
      <c r="G16" s="15"/>
    </row>
    <row r="17" customFormat="false" ht="33.75" hidden="false" customHeight="true" outlineLevel="0" collapsed="false">
      <c r="A17" s="16"/>
      <c r="B17" s="16"/>
      <c r="C17" s="16"/>
      <c r="D17" s="16"/>
      <c r="E17" s="16"/>
      <c r="F17" s="16"/>
      <c r="G17" s="16"/>
    </row>
    <row r="18" customFormat="false" ht="33.75" hidden="false" customHeight="true" outlineLevel="0" collapsed="false">
      <c r="A18" s="15"/>
      <c r="B18" s="15"/>
      <c r="C18" s="15"/>
      <c r="D18" s="15"/>
      <c r="E18" s="15"/>
      <c r="F18" s="15"/>
      <c r="G18" s="15"/>
    </row>
    <row r="19" customFormat="false" ht="33.75" hidden="false" customHeight="true" outlineLevel="0" collapsed="false">
      <c r="A19" s="16"/>
      <c r="B19" s="16"/>
      <c r="C19" s="16"/>
      <c r="D19" s="16"/>
      <c r="E19" s="16"/>
      <c r="F19" s="16"/>
      <c r="G19" s="16"/>
    </row>
    <row r="20" customFormat="false" ht="33.75" hidden="false" customHeight="true" outlineLevel="0" collapsed="false">
      <c r="A20" s="15"/>
      <c r="B20" s="15"/>
      <c r="C20" s="15"/>
      <c r="D20" s="15"/>
      <c r="E20" s="15"/>
      <c r="F20" s="15"/>
      <c r="G20" s="15"/>
    </row>
    <row r="21" customFormat="false" ht="33.75" hidden="false" customHeight="true" outlineLevel="0" collapsed="false">
      <c r="A21" s="16"/>
      <c r="B21" s="16"/>
      <c r="C21" s="16"/>
      <c r="D21" s="16"/>
      <c r="E21" s="16"/>
      <c r="F21" s="16"/>
      <c r="G21" s="16"/>
    </row>
    <row r="22" customFormat="false" ht="33.75" hidden="false" customHeight="true" outlineLevel="0" collapsed="false">
      <c r="A22" s="15"/>
      <c r="B22" s="15"/>
      <c r="C22" s="15"/>
      <c r="D22" s="15"/>
      <c r="E22" s="15"/>
      <c r="F22" s="15"/>
      <c r="G22" s="15"/>
    </row>
    <row r="23" customFormat="false" ht="33.75" hidden="false" customHeight="true" outlineLevel="0" collapsed="false">
      <c r="A23" s="16"/>
      <c r="B23" s="16"/>
      <c r="C23" s="16"/>
      <c r="D23" s="16"/>
      <c r="E23" s="16"/>
      <c r="F23" s="16"/>
      <c r="G23" s="16"/>
    </row>
    <row r="24" customFormat="false" ht="33.75" hidden="false" customHeight="true" outlineLevel="0" collapsed="false">
      <c r="A24" s="15"/>
      <c r="B24" s="15"/>
      <c r="C24" s="15"/>
      <c r="D24" s="15"/>
      <c r="E24" s="15"/>
      <c r="F24" s="15"/>
      <c r="G24" s="15"/>
    </row>
    <row r="25" customFormat="false" ht="33.75" hidden="false" customHeight="true" outlineLevel="0" collapsed="false">
      <c r="A25" s="16"/>
      <c r="B25" s="16"/>
      <c r="C25" s="16"/>
      <c r="D25" s="16"/>
      <c r="E25" s="16"/>
      <c r="F25" s="16"/>
      <c r="G25" s="16"/>
    </row>
    <row r="26" customFormat="false" ht="33.75" hidden="false" customHeight="true" outlineLevel="0" collapsed="false">
      <c r="A26" s="15"/>
      <c r="B26" s="15"/>
      <c r="C26" s="15"/>
      <c r="D26" s="15"/>
      <c r="E26" s="15"/>
      <c r="F26" s="15"/>
      <c r="G26" s="15"/>
    </row>
    <row r="27" customFormat="false" ht="33.75" hidden="false" customHeight="true" outlineLevel="0" collapsed="false">
      <c r="A27" s="16"/>
      <c r="B27" s="16"/>
      <c r="C27" s="16"/>
      <c r="D27" s="16"/>
      <c r="E27" s="16"/>
      <c r="F27" s="16"/>
      <c r="G27" s="16"/>
    </row>
    <row r="28" customFormat="false" ht="33.75" hidden="false" customHeight="true" outlineLevel="0" collapsed="false">
      <c r="A28" s="15"/>
      <c r="B28" s="15"/>
      <c r="C28" s="15"/>
      <c r="D28" s="15"/>
      <c r="E28" s="15"/>
      <c r="F28" s="15"/>
      <c r="G28" s="15"/>
    </row>
    <row r="29" customFormat="false" ht="33.75" hidden="false" customHeight="true" outlineLevel="0" collapsed="false">
      <c r="A29" s="16"/>
      <c r="B29" s="16"/>
      <c r="C29" s="16"/>
      <c r="D29" s="16"/>
      <c r="E29" s="16"/>
      <c r="F29" s="16"/>
      <c r="G29" s="16"/>
    </row>
    <row r="30" customFormat="false" ht="33.75" hidden="false" customHeight="true" outlineLevel="0" collapsed="false">
      <c r="A30" s="15"/>
      <c r="B30" s="15"/>
      <c r="C30" s="15"/>
      <c r="D30" s="15"/>
      <c r="E30" s="15"/>
      <c r="F30" s="15"/>
      <c r="G30" s="15"/>
    </row>
    <row r="31" customFormat="false" ht="33.75" hidden="false" customHeight="true" outlineLevel="0" collapsed="false">
      <c r="A31" s="16"/>
      <c r="B31" s="16"/>
      <c r="C31" s="16"/>
      <c r="D31" s="16"/>
      <c r="E31" s="16"/>
      <c r="F31" s="16"/>
      <c r="G31" s="16"/>
    </row>
    <row r="32" customFormat="false" ht="33.75" hidden="false" customHeight="true" outlineLevel="0" collapsed="false">
      <c r="A32" s="15"/>
      <c r="B32" s="15"/>
      <c r="C32" s="15"/>
      <c r="D32" s="15"/>
      <c r="E32" s="15"/>
      <c r="F32" s="15"/>
      <c r="G32" s="15"/>
    </row>
    <row r="33" customFormat="false" ht="33.75" hidden="false" customHeight="true" outlineLevel="0" collapsed="false">
      <c r="A33" s="16"/>
      <c r="B33" s="16"/>
      <c r="C33" s="16"/>
      <c r="D33" s="16"/>
      <c r="E33" s="16"/>
      <c r="F33" s="16"/>
      <c r="G33" s="16"/>
    </row>
    <row r="34" customFormat="false" ht="33.75" hidden="false" customHeight="true" outlineLevel="0" collapsed="false">
      <c r="A34" s="15"/>
      <c r="B34" s="15"/>
      <c r="C34" s="15"/>
      <c r="D34" s="15"/>
      <c r="E34" s="15"/>
      <c r="F34" s="15"/>
      <c r="G34" s="15"/>
    </row>
    <row r="35" customFormat="false" ht="33.75" hidden="false" customHeight="true" outlineLevel="0" collapsed="false">
      <c r="A35" s="16"/>
      <c r="B35" s="16"/>
      <c r="C35" s="16"/>
      <c r="D35" s="16"/>
      <c r="E35" s="16"/>
      <c r="F35" s="16"/>
      <c r="G35" s="16"/>
    </row>
    <row r="36" customFormat="false" ht="33.75" hidden="false" customHeight="true" outlineLevel="0" collapsed="false">
      <c r="A36" s="15"/>
      <c r="B36" s="15"/>
      <c r="C36" s="15"/>
      <c r="D36" s="15"/>
      <c r="E36" s="15"/>
      <c r="F36" s="15"/>
      <c r="G36" s="15"/>
    </row>
    <row r="37" customFormat="false" ht="33.75" hidden="false" customHeight="true" outlineLevel="0" collapsed="false">
      <c r="A37" s="16"/>
      <c r="B37" s="16"/>
      <c r="C37" s="16"/>
      <c r="D37" s="16"/>
      <c r="E37" s="16"/>
      <c r="F37" s="16"/>
      <c r="G37" s="16"/>
    </row>
    <row r="38" customFormat="false" ht="33.75" hidden="false" customHeight="true" outlineLevel="0" collapsed="false">
      <c r="A38" s="15"/>
      <c r="B38" s="15"/>
      <c r="C38" s="15"/>
      <c r="D38" s="15"/>
      <c r="E38" s="15"/>
      <c r="F38" s="15"/>
      <c r="G38" s="15"/>
    </row>
    <row r="39" customFormat="false" ht="33.75" hidden="false" customHeight="true" outlineLevel="0" collapsed="false">
      <c r="A39" s="16"/>
      <c r="B39" s="16"/>
      <c r="C39" s="16"/>
      <c r="D39" s="16"/>
      <c r="E39" s="16"/>
      <c r="F39" s="16"/>
      <c r="G39" s="16"/>
    </row>
    <row r="40" customFormat="false" ht="33.75" hidden="false" customHeight="true" outlineLevel="0" collapsed="false">
      <c r="A40" s="15"/>
      <c r="B40" s="15"/>
      <c r="C40" s="15"/>
      <c r="D40" s="15"/>
      <c r="E40" s="15"/>
      <c r="F40" s="15"/>
      <c r="G40" s="15"/>
    </row>
    <row r="41" customFormat="false" ht="33.75" hidden="false" customHeight="true" outlineLevel="0" collapsed="false">
      <c r="A41" s="16"/>
      <c r="B41" s="16"/>
      <c r="C41" s="16"/>
      <c r="D41" s="16"/>
      <c r="E41" s="16"/>
      <c r="F41" s="16"/>
      <c r="G41" s="16"/>
    </row>
    <row r="42" customFormat="false" ht="33.75" hidden="false" customHeight="true" outlineLevel="0" collapsed="false">
      <c r="A42" s="15"/>
      <c r="B42" s="15"/>
      <c r="C42" s="15"/>
      <c r="D42" s="15"/>
      <c r="E42" s="15"/>
      <c r="F42" s="15"/>
      <c r="G42" s="15"/>
    </row>
    <row r="43" customFormat="false" ht="33.75" hidden="false" customHeight="true" outlineLevel="0" collapsed="false">
      <c r="A43" s="16"/>
      <c r="B43" s="16"/>
      <c r="C43" s="16"/>
      <c r="D43" s="16"/>
      <c r="E43" s="16"/>
      <c r="F43" s="16"/>
      <c r="G43" s="16"/>
    </row>
    <row r="44" customFormat="false" ht="33.75" hidden="false" customHeight="true" outlineLevel="0" collapsed="false">
      <c r="A44" s="15"/>
      <c r="B44" s="15"/>
      <c r="C44" s="15"/>
      <c r="D44" s="15"/>
      <c r="E44" s="15"/>
      <c r="F44" s="15"/>
      <c r="G44" s="15"/>
    </row>
    <row r="45" customFormat="false" ht="33.75" hidden="false" customHeight="true" outlineLevel="0" collapsed="false">
      <c r="A45" s="16"/>
      <c r="B45" s="16"/>
      <c r="C45" s="16"/>
      <c r="D45" s="16"/>
      <c r="E45" s="16"/>
      <c r="F45" s="16"/>
      <c r="G45" s="16"/>
    </row>
  </sheetData>
  <mergeCells count="2">
    <mergeCell ref="A1:G1"/>
    <mergeCell ref="A2:G2"/>
  </mergeCells>
  <dataValidations count="2">
    <dataValidation allowBlank="true" error="Responda Sí, No o Parcialmente." errorStyle="stop" errorTitle="Valor no admitido" operator="between" showDropDown="false" showErrorMessage="true" showInputMessage="false" sqref="B5:D45" type="list">
      <formula1>"Sí,No,Parcialmente"</formula1>
      <formula2>0</formula2>
    </dataValidation>
    <dataValidation allowBlank="true" error="Veredictos admitidos: Entidad, Atributo, Rol, Producto del sistema o Elemento del entorno." errorStyle="stop" errorTitle="Valor no admitido" operator="between" showDropDown="false" showErrorMessage="true" showInputMessage="false" sqref="E5:E45" type="list">
      <formula1>"Entidad,Atributo de otra entidad,Rol de una entidad,Producto del sistema,Elemento del entorno"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56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19.5" hidden="false" customHeight="true" outlineLevel="0" collapsed="false">
      <c r="A1" s="1" t="s">
        <v>76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77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12" t="s">
        <v>78</v>
      </c>
      <c r="B4" s="12" t="s">
        <v>27</v>
      </c>
      <c r="C4" s="12" t="s">
        <v>79</v>
      </c>
      <c r="D4" s="12" t="s">
        <v>80</v>
      </c>
      <c r="E4" s="12" t="s">
        <v>81</v>
      </c>
      <c r="F4" s="12" t="s">
        <v>82</v>
      </c>
    </row>
    <row r="5" customFormat="false" ht="57.75" hidden="false" customHeight="true" outlineLevel="0" collapsed="false">
      <c r="A5" s="13" t="s">
        <v>83</v>
      </c>
      <c r="B5" s="13" t="s">
        <v>84</v>
      </c>
      <c r="C5" s="13" t="s">
        <v>85</v>
      </c>
      <c r="D5" s="13" t="s">
        <v>86</v>
      </c>
      <c r="E5" s="13" t="s">
        <v>87</v>
      </c>
      <c r="F5" s="13" t="s">
        <v>88</v>
      </c>
    </row>
    <row r="6" customFormat="false" ht="33.75" hidden="false" customHeight="true" outlineLevel="0" collapsed="false">
      <c r="A6" s="15" t="s">
        <v>89</v>
      </c>
      <c r="B6" s="15"/>
      <c r="C6" s="15"/>
      <c r="D6" s="15"/>
      <c r="E6" s="15"/>
      <c r="F6" s="15"/>
    </row>
    <row r="7" customFormat="false" ht="33.75" hidden="false" customHeight="true" outlineLevel="0" collapsed="false">
      <c r="A7" s="16" t="s">
        <v>90</v>
      </c>
      <c r="B7" s="16"/>
      <c r="C7" s="16"/>
      <c r="D7" s="16"/>
      <c r="E7" s="16"/>
      <c r="F7" s="16"/>
    </row>
    <row r="8" customFormat="false" ht="33.75" hidden="false" customHeight="true" outlineLevel="0" collapsed="false">
      <c r="A8" s="15" t="s">
        <v>91</v>
      </c>
      <c r="B8" s="15"/>
      <c r="C8" s="15"/>
      <c r="D8" s="15"/>
      <c r="E8" s="15"/>
      <c r="F8" s="15"/>
    </row>
    <row r="9" customFormat="false" ht="33.75" hidden="false" customHeight="true" outlineLevel="0" collapsed="false">
      <c r="A9" s="16" t="s">
        <v>92</v>
      </c>
      <c r="B9" s="16"/>
      <c r="C9" s="16"/>
      <c r="D9" s="16"/>
      <c r="E9" s="16"/>
      <c r="F9" s="16"/>
    </row>
    <row r="10" customFormat="false" ht="33.75" hidden="false" customHeight="true" outlineLevel="0" collapsed="false">
      <c r="A10" s="15" t="s">
        <v>93</v>
      </c>
      <c r="B10" s="15"/>
      <c r="C10" s="15"/>
      <c r="D10" s="15"/>
      <c r="E10" s="15"/>
      <c r="F10" s="15"/>
    </row>
    <row r="11" customFormat="false" ht="33.75" hidden="false" customHeight="true" outlineLevel="0" collapsed="false">
      <c r="A11" s="16" t="s">
        <v>94</v>
      </c>
      <c r="B11" s="16"/>
      <c r="C11" s="16"/>
      <c r="D11" s="16"/>
      <c r="E11" s="16"/>
      <c r="F11" s="16"/>
    </row>
    <row r="12" customFormat="false" ht="33.75" hidden="false" customHeight="true" outlineLevel="0" collapsed="false">
      <c r="A12" s="15" t="s">
        <v>95</v>
      </c>
      <c r="B12" s="15"/>
      <c r="C12" s="15"/>
      <c r="D12" s="15"/>
      <c r="E12" s="15"/>
      <c r="F12" s="15"/>
    </row>
    <row r="13" customFormat="false" ht="33.75" hidden="false" customHeight="true" outlineLevel="0" collapsed="false">
      <c r="A13" s="16" t="s">
        <v>96</v>
      </c>
      <c r="B13" s="16"/>
      <c r="C13" s="16"/>
      <c r="D13" s="16"/>
      <c r="E13" s="16"/>
      <c r="F13" s="16"/>
    </row>
    <row r="14" customFormat="false" ht="33.75" hidden="false" customHeight="true" outlineLevel="0" collapsed="false">
      <c r="A14" s="15" t="s">
        <v>97</v>
      </c>
      <c r="B14" s="15"/>
      <c r="C14" s="15"/>
      <c r="D14" s="15"/>
      <c r="E14" s="15"/>
      <c r="F14" s="15"/>
    </row>
    <row r="15" customFormat="false" ht="33.75" hidden="false" customHeight="true" outlineLevel="0" collapsed="false">
      <c r="A15" s="16" t="s">
        <v>98</v>
      </c>
      <c r="B15" s="16"/>
      <c r="C15" s="16"/>
      <c r="D15" s="16"/>
      <c r="E15" s="16"/>
      <c r="F15" s="16"/>
    </row>
    <row r="16" customFormat="false" ht="33.75" hidden="false" customHeight="true" outlineLevel="0" collapsed="false">
      <c r="A16" s="15" t="s">
        <v>99</v>
      </c>
      <c r="B16" s="15"/>
      <c r="C16" s="15"/>
      <c r="D16" s="15"/>
      <c r="E16" s="15"/>
      <c r="F16" s="15"/>
    </row>
    <row r="17" customFormat="false" ht="33.75" hidden="false" customHeight="true" outlineLevel="0" collapsed="false">
      <c r="A17" s="16" t="s">
        <v>100</v>
      </c>
      <c r="B17" s="16"/>
      <c r="C17" s="16"/>
      <c r="D17" s="16"/>
      <c r="E17" s="16"/>
      <c r="F17" s="16"/>
    </row>
    <row r="18" customFormat="false" ht="33.75" hidden="false" customHeight="true" outlineLevel="0" collapsed="false">
      <c r="A18" s="15" t="s">
        <v>101</v>
      </c>
      <c r="B18" s="15"/>
      <c r="C18" s="15"/>
      <c r="D18" s="15"/>
      <c r="E18" s="15"/>
      <c r="F18" s="15"/>
    </row>
    <row r="19" customFormat="false" ht="33.75" hidden="false" customHeight="true" outlineLevel="0" collapsed="false">
      <c r="A19" s="16" t="s">
        <v>102</v>
      </c>
      <c r="B19" s="16"/>
      <c r="C19" s="16"/>
      <c r="D19" s="16"/>
      <c r="E19" s="16"/>
      <c r="F19" s="16"/>
    </row>
    <row r="20" customFormat="false" ht="33.75" hidden="false" customHeight="true" outlineLevel="0" collapsed="false">
      <c r="A20" s="15" t="s">
        <v>103</v>
      </c>
      <c r="B20" s="15"/>
      <c r="C20" s="15"/>
      <c r="D20" s="15"/>
      <c r="E20" s="15"/>
      <c r="F20" s="15"/>
    </row>
    <row r="21" customFormat="false" ht="33.75" hidden="false" customHeight="true" outlineLevel="0" collapsed="false">
      <c r="A21" s="16" t="s">
        <v>104</v>
      </c>
      <c r="B21" s="16"/>
      <c r="C21" s="16"/>
      <c r="D21" s="16"/>
      <c r="E21" s="16"/>
      <c r="F21" s="16"/>
    </row>
    <row r="22" customFormat="false" ht="33.75" hidden="false" customHeight="true" outlineLevel="0" collapsed="false">
      <c r="A22" s="15" t="s">
        <v>105</v>
      </c>
      <c r="B22" s="15"/>
      <c r="C22" s="15"/>
      <c r="D22" s="15"/>
      <c r="E22" s="15"/>
      <c r="F22" s="15"/>
    </row>
    <row r="23" customFormat="false" ht="33.75" hidden="false" customHeight="true" outlineLevel="0" collapsed="false">
      <c r="A23" s="16" t="s">
        <v>106</v>
      </c>
      <c r="B23" s="16"/>
      <c r="C23" s="16"/>
      <c r="D23" s="16"/>
      <c r="E23" s="16"/>
      <c r="F23" s="16"/>
    </row>
    <row r="24" customFormat="false" ht="33.75" hidden="false" customHeight="true" outlineLevel="0" collapsed="false">
      <c r="A24" s="15" t="s">
        <v>107</v>
      </c>
      <c r="B24" s="15"/>
      <c r="C24" s="15"/>
      <c r="D24" s="15"/>
      <c r="E24" s="15"/>
      <c r="F24" s="15"/>
    </row>
    <row r="25" customFormat="false" ht="33.75" hidden="false" customHeight="true" outlineLevel="0" collapsed="false">
      <c r="A25" s="16" t="s">
        <v>108</v>
      </c>
      <c r="B25" s="16"/>
      <c r="C25" s="16"/>
      <c r="D25" s="16"/>
      <c r="E25" s="16"/>
      <c r="F25" s="16"/>
    </row>
    <row r="26" customFormat="false" ht="33.75" hidden="false" customHeight="true" outlineLevel="0" collapsed="false">
      <c r="A26" s="15" t="s">
        <v>109</v>
      </c>
      <c r="B26" s="15"/>
      <c r="C26" s="15"/>
      <c r="D26" s="15"/>
      <c r="E26" s="15"/>
      <c r="F26" s="15"/>
    </row>
    <row r="27" customFormat="false" ht="33.75" hidden="false" customHeight="true" outlineLevel="0" collapsed="false">
      <c r="A27" s="16" t="s">
        <v>110</v>
      </c>
      <c r="B27" s="16"/>
      <c r="C27" s="16"/>
      <c r="D27" s="16"/>
      <c r="E27" s="16"/>
      <c r="F27" s="16"/>
    </row>
    <row r="28" customFormat="false" ht="33.75" hidden="false" customHeight="true" outlineLevel="0" collapsed="false">
      <c r="A28" s="15" t="s">
        <v>111</v>
      </c>
      <c r="B28" s="15"/>
      <c r="C28" s="15"/>
      <c r="D28" s="15"/>
      <c r="E28" s="15"/>
      <c r="F28" s="15"/>
    </row>
    <row r="29" customFormat="false" ht="33.75" hidden="false" customHeight="true" outlineLevel="0" collapsed="false">
      <c r="A29" s="16" t="s">
        <v>112</v>
      </c>
      <c r="B29" s="16"/>
      <c r="C29" s="16"/>
      <c r="D29" s="16"/>
      <c r="E29" s="16"/>
      <c r="F29" s="16"/>
    </row>
    <row r="30" customFormat="false" ht="33.75" hidden="false" customHeight="true" outlineLevel="0" collapsed="false">
      <c r="A30" s="15" t="s">
        <v>113</v>
      </c>
      <c r="B30" s="15"/>
      <c r="C30" s="15"/>
      <c r="D30" s="15"/>
      <c r="E30" s="15"/>
      <c r="F30" s="15"/>
    </row>
    <row r="31" customFormat="false" ht="33.75" hidden="false" customHeight="true" outlineLevel="0" collapsed="false">
      <c r="A31" s="16" t="s">
        <v>114</v>
      </c>
      <c r="B31" s="16"/>
      <c r="C31" s="16"/>
      <c r="D31" s="16"/>
      <c r="E31" s="16"/>
      <c r="F31" s="16"/>
    </row>
    <row r="32" customFormat="false" ht="33.75" hidden="false" customHeight="true" outlineLevel="0" collapsed="false">
      <c r="A32" s="15" t="s">
        <v>115</v>
      </c>
      <c r="B32" s="15"/>
      <c r="C32" s="15"/>
      <c r="D32" s="15"/>
      <c r="E32" s="15"/>
      <c r="F32" s="15"/>
    </row>
    <row r="33" customFormat="false" ht="33.75" hidden="false" customHeight="true" outlineLevel="0" collapsed="false">
      <c r="A33" s="16" t="s">
        <v>116</v>
      </c>
      <c r="B33" s="16"/>
      <c r="C33" s="16"/>
      <c r="D33" s="16"/>
      <c r="E33" s="16"/>
      <c r="F33" s="16"/>
    </row>
    <row r="34" customFormat="false" ht="33.75" hidden="false" customHeight="true" outlineLevel="0" collapsed="false">
      <c r="A34" s="15" t="s">
        <v>117</v>
      </c>
      <c r="B34" s="15"/>
      <c r="C34" s="15"/>
      <c r="D34" s="15"/>
      <c r="E34" s="15"/>
      <c r="F34" s="15"/>
    </row>
    <row r="35" customFormat="false" ht="33.75" hidden="false" customHeight="true" outlineLevel="0" collapsed="false">
      <c r="A35" s="16" t="s">
        <v>118</v>
      </c>
      <c r="B35" s="16"/>
      <c r="C35" s="16"/>
      <c r="D35" s="16"/>
      <c r="E35" s="16"/>
      <c r="F35" s="16"/>
    </row>
    <row r="36" customFormat="false" ht="33.75" hidden="false" customHeight="true" outlineLevel="0" collapsed="false">
      <c r="A36" s="15" t="s">
        <v>119</v>
      </c>
      <c r="B36" s="15"/>
      <c r="C36" s="15"/>
      <c r="D36" s="15"/>
      <c r="E36" s="15"/>
      <c r="F36" s="15"/>
    </row>
    <row r="37" customFormat="false" ht="33.75" hidden="false" customHeight="true" outlineLevel="0" collapsed="false">
      <c r="A37" s="16" t="s">
        <v>120</v>
      </c>
      <c r="B37" s="16"/>
      <c r="C37" s="16"/>
      <c r="D37" s="16"/>
      <c r="E37" s="16"/>
      <c r="F37" s="16"/>
    </row>
    <row r="38" customFormat="false" ht="33.75" hidden="false" customHeight="true" outlineLevel="0" collapsed="false">
      <c r="A38" s="15" t="s">
        <v>121</v>
      </c>
      <c r="B38" s="15"/>
      <c r="C38" s="15"/>
      <c r="D38" s="15"/>
      <c r="E38" s="15"/>
      <c r="F38" s="15"/>
    </row>
    <row r="39" customFormat="false" ht="33.75" hidden="false" customHeight="true" outlineLevel="0" collapsed="false">
      <c r="A39" s="16" t="s">
        <v>122</v>
      </c>
      <c r="B39" s="16"/>
      <c r="C39" s="16"/>
      <c r="D39" s="16"/>
      <c r="E39" s="16"/>
      <c r="F39" s="16"/>
    </row>
    <row r="40" customFormat="false" ht="33.75" hidden="false" customHeight="true" outlineLevel="0" collapsed="false">
      <c r="A40" s="15" t="s">
        <v>123</v>
      </c>
      <c r="B40" s="15"/>
      <c r="C40" s="15"/>
      <c r="D40" s="15"/>
      <c r="E40" s="15"/>
      <c r="F40" s="15"/>
    </row>
  </sheetData>
  <mergeCells count="2">
    <mergeCell ref="A1:F1"/>
    <mergeCell ref="A2:F2"/>
  </mergeCells>
  <dataValidations count="2">
    <dataValidation allowBlank="true" error="Tipos admitidos: Restricción, Derivación o Existencia." errorStyle="stop" errorTitle="Valor no admitido" operator="between" showDropDown="false" showErrorMessage="true" showInputMessage="false" sqref="B5:B40" type="list">
      <formula1>"Restricción,Derivación,Existencia"</formula1>
      <formula2>0</formula2>
    </dataValidation>
    <dataValidation allowBlank="true" error="Estados admitidos: Validada, Pendiente o En disputa." errorStyle="stop" errorTitle="Valor no admitido" operator="between" showDropDown="false" showErrorMessage="true" showInputMessage="false" sqref="E5:E40" type="list">
      <formula1>"Validada,Pendiente,En disputa"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4"/>
  </cols>
  <sheetData>
    <row r="1" customFormat="false" ht="19.5" hidden="false" customHeight="true" outlineLevel="0" collapsed="false">
      <c r="A1" s="1" t="s">
        <v>124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125</v>
      </c>
      <c r="B2" s="2"/>
      <c r="C2" s="2"/>
      <c r="D2" s="2"/>
      <c r="E2" s="2"/>
    </row>
    <row r="4" customFormat="false" ht="30" hidden="false" customHeight="true" outlineLevel="0" collapsed="false">
      <c r="A4" s="12" t="s">
        <v>126</v>
      </c>
      <c r="B4" s="12" t="s">
        <v>127</v>
      </c>
      <c r="C4" s="12" t="s">
        <v>128</v>
      </c>
      <c r="D4" s="12" t="s">
        <v>129</v>
      </c>
      <c r="E4" s="12" t="s">
        <v>130</v>
      </c>
    </row>
    <row r="5" customFormat="false" ht="57.75" hidden="false" customHeight="true" outlineLevel="0" collapsed="false">
      <c r="A5" s="13" t="s">
        <v>131</v>
      </c>
      <c r="B5" s="13" t="s">
        <v>132</v>
      </c>
      <c r="C5" s="13" t="s">
        <v>133</v>
      </c>
      <c r="D5" s="13" t="s">
        <v>134</v>
      </c>
      <c r="E5" s="13" t="s">
        <v>47</v>
      </c>
    </row>
    <row r="6" customFormat="false" ht="33.75" hidden="false" customHeight="true" outlineLevel="0" collapsed="false">
      <c r="A6" s="15"/>
      <c r="B6" s="15"/>
      <c r="C6" s="15"/>
      <c r="D6" s="15"/>
      <c r="E6" s="15"/>
    </row>
    <row r="7" customFormat="false" ht="33.75" hidden="false" customHeight="true" outlineLevel="0" collapsed="false">
      <c r="A7" s="16"/>
      <c r="B7" s="16"/>
      <c r="C7" s="16"/>
      <c r="D7" s="16"/>
      <c r="E7" s="16"/>
    </row>
    <row r="8" customFormat="false" ht="33.75" hidden="false" customHeight="true" outlineLevel="0" collapsed="false">
      <c r="A8" s="15"/>
      <c r="B8" s="15"/>
      <c r="C8" s="15"/>
      <c r="D8" s="15"/>
      <c r="E8" s="15"/>
    </row>
    <row r="9" customFormat="false" ht="33.75" hidden="false" customHeight="true" outlineLevel="0" collapsed="false">
      <c r="A9" s="16"/>
      <c r="B9" s="16"/>
      <c r="C9" s="16"/>
      <c r="D9" s="16"/>
      <c r="E9" s="16"/>
    </row>
    <row r="10" customFormat="false" ht="33.75" hidden="false" customHeight="true" outlineLevel="0" collapsed="false">
      <c r="A10" s="15"/>
      <c r="B10" s="15"/>
      <c r="C10" s="15"/>
      <c r="D10" s="15"/>
      <c r="E10" s="15"/>
    </row>
    <row r="11" customFormat="false" ht="33.75" hidden="false" customHeight="true" outlineLevel="0" collapsed="false">
      <c r="A11" s="16"/>
      <c r="B11" s="16"/>
      <c r="C11" s="16"/>
      <c r="D11" s="16"/>
      <c r="E11" s="16"/>
    </row>
    <row r="12" customFormat="false" ht="33.75" hidden="false" customHeight="true" outlineLevel="0" collapsed="false">
      <c r="A12" s="15"/>
      <c r="B12" s="15"/>
      <c r="C12" s="15"/>
      <c r="D12" s="15"/>
      <c r="E12" s="15"/>
    </row>
    <row r="13" customFormat="false" ht="33.75" hidden="false" customHeight="true" outlineLevel="0" collapsed="false">
      <c r="A13" s="16"/>
      <c r="B13" s="16"/>
      <c r="C13" s="16"/>
      <c r="D13" s="16"/>
      <c r="E13" s="16"/>
    </row>
    <row r="14" customFormat="false" ht="33.75" hidden="false" customHeight="true" outlineLevel="0" collapsed="false">
      <c r="A14" s="15"/>
      <c r="B14" s="15"/>
      <c r="C14" s="15"/>
      <c r="D14" s="15"/>
      <c r="E14" s="15"/>
    </row>
    <row r="15" customFormat="false" ht="33.75" hidden="false" customHeight="true" outlineLevel="0" collapsed="false">
      <c r="A15" s="16"/>
      <c r="B15" s="16"/>
      <c r="C15" s="16"/>
      <c r="D15" s="16"/>
      <c r="E15" s="16"/>
    </row>
    <row r="16" customFormat="false" ht="33.75" hidden="false" customHeight="true" outlineLevel="0" collapsed="false">
      <c r="A16" s="15"/>
      <c r="B16" s="15"/>
      <c r="C16" s="15"/>
      <c r="D16" s="15"/>
      <c r="E16" s="15"/>
    </row>
    <row r="17" customFormat="false" ht="33.75" hidden="false" customHeight="true" outlineLevel="0" collapsed="false">
      <c r="A17" s="16"/>
      <c r="B17" s="16"/>
      <c r="C17" s="16"/>
      <c r="D17" s="16"/>
      <c r="E17" s="16"/>
    </row>
    <row r="18" customFormat="false" ht="33.75" hidden="false" customHeight="true" outlineLevel="0" collapsed="false">
      <c r="A18" s="15"/>
      <c r="B18" s="15"/>
      <c r="C18" s="15"/>
      <c r="D18" s="15"/>
      <c r="E18" s="15"/>
    </row>
    <row r="19" customFormat="false" ht="33.75" hidden="false" customHeight="true" outlineLevel="0" collapsed="false">
      <c r="A19" s="16"/>
      <c r="B19" s="16"/>
      <c r="C19" s="16"/>
      <c r="D19" s="16"/>
      <c r="E19" s="16"/>
    </row>
    <row r="20" customFormat="false" ht="33.75" hidden="false" customHeight="true" outlineLevel="0" collapsed="false">
      <c r="A20" s="15"/>
      <c r="B20" s="15"/>
      <c r="C20" s="15"/>
      <c r="D20" s="15"/>
      <c r="E20" s="15"/>
    </row>
    <row r="21" customFormat="false" ht="33.75" hidden="false" customHeight="true" outlineLevel="0" collapsed="false">
      <c r="A21" s="16"/>
      <c r="B21" s="16"/>
      <c r="C21" s="16"/>
      <c r="D21" s="16"/>
      <c r="E21" s="16"/>
    </row>
    <row r="22" customFormat="false" ht="33.75" hidden="false" customHeight="true" outlineLevel="0" collapsed="false">
      <c r="A22" s="15"/>
      <c r="B22" s="15"/>
      <c r="C22" s="15"/>
      <c r="D22" s="15"/>
      <c r="E22" s="15"/>
    </row>
    <row r="23" customFormat="false" ht="33.75" hidden="false" customHeight="true" outlineLevel="0" collapsed="false">
      <c r="A23" s="16"/>
      <c r="B23" s="16"/>
      <c r="C23" s="16"/>
      <c r="D23" s="16"/>
      <c r="E23" s="16"/>
    </row>
    <row r="24" customFormat="false" ht="33.75" hidden="false" customHeight="true" outlineLevel="0" collapsed="false">
      <c r="A24" s="15"/>
      <c r="B24" s="15"/>
      <c r="C24" s="15"/>
      <c r="D24" s="15"/>
      <c r="E24" s="15"/>
    </row>
    <row r="25" customFormat="false" ht="33.75" hidden="false" customHeight="true" outlineLevel="0" collapsed="false">
      <c r="A25" s="16"/>
      <c r="B25" s="16"/>
      <c r="C25" s="16"/>
      <c r="D25" s="16"/>
      <c r="E25" s="16"/>
    </row>
    <row r="26" customFormat="false" ht="33.75" hidden="false" customHeight="true" outlineLevel="0" collapsed="false">
      <c r="A26" s="15"/>
      <c r="B26" s="15"/>
      <c r="C26" s="15"/>
      <c r="D26" s="15"/>
      <c r="E26" s="15"/>
    </row>
    <row r="27" customFormat="false" ht="33.75" hidden="false" customHeight="true" outlineLevel="0" collapsed="false">
      <c r="A27" s="16"/>
      <c r="B27" s="16"/>
      <c r="C27" s="16"/>
      <c r="D27" s="16"/>
      <c r="E27" s="16"/>
    </row>
    <row r="28" customFormat="false" ht="33.75" hidden="false" customHeight="true" outlineLevel="0" collapsed="false">
      <c r="A28" s="15"/>
      <c r="B28" s="15"/>
      <c r="C28" s="15"/>
      <c r="D28" s="15"/>
      <c r="E28" s="15"/>
    </row>
    <row r="29" customFormat="false" ht="33.75" hidden="false" customHeight="true" outlineLevel="0" collapsed="false">
      <c r="A29" s="16"/>
      <c r="B29" s="16"/>
      <c r="C29" s="16"/>
      <c r="D29" s="16"/>
      <c r="E29" s="16"/>
    </row>
    <row r="30" customFormat="false" ht="33.75" hidden="false" customHeight="true" outlineLevel="0" collapsed="false">
      <c r="A30" s="15"/>
      <c r="B30" s="15"/>
      <c r="C30" s="15"/>
      <c r="D30" s="15"/>
      <c r="E30" s="15"/>
    </row>
    <row r="31" customFormat="false" ht="33.75" hidden="false" customHeight="true" outlineLevel="0" collapsed="false">
      <c r="A31" s="16"/>
      <c r="B31" s="16"/>
      <c r="C31" s="16"/>
      <c r="D31" s="16"/>
      <c r="E31" s="16"/>
    </row>
    <row r="32" customFormat="false" ht="33.75" hidden="false" customHeight="true" outlineLevel="0" collapsed="false">
      <c r="A32" s="15"/>
      <c r="B32" s="15"/>
      <c r="C32" s="15"/>
      <c r="D32" s="15"/>
      <c r="E32" s="15"/>
    </row>
    <row r="33" customFormat="false" ht="33.75" hidden="false" customHeight="true" outlineLevel="0" collapsed="false">
      <c r="A33" s="16"/>
      <c r="B33" s="16"/>
      <c r="C33" s="16"/>
      <c r="D33" s="16"/>
      <c r="E33" s="16"/>
    </row>
    <row r="34" customFormat="false" ht="33.75" hidden="false" customHeight="true" outlineLevel="0" collapsed="false">
      <c r="A34" s="15"/>
      <c r="B34" s="15"/>
      <c r="C34" s="15"/>
      <c r="D34" s="15"/>
      <c r="E34" s="15"/>
    </row>
    <row r="35" customFormat="false" ht="33.75" hidden="false" customHeight="true" outlineLevel="0" collapsed="false">
      <c r="A35" s="16"/>
      <c r="B35" s="16"/>
      <c r="C35" s="16"/>
      <c r="D35" s="16"/>
      <c r="E35" s="16"/>
    </row>
    <row r="36" customFormat="false" ht="33.75" hidden="false" customHeight="true" outlineLevel="0" collapsed="false">
      <c r="A36" s="15"/>
      <c r="B36" s="15"/>
      <c r="C36" s="15"/>
      <c r="D36" s="15"/>
      <c r="E36" s="15"/>
    </row>
    <row r="37" customFormat="false" ht="33.75" hidden="false" customHeight="true" outlineLevel="0" collapsed="false">
      <c r="A37" s="16"/>
      <c r="B37" s="16"/>
      <c r="C37" s="16"/>
      <c r="D37" s="16"/>
      <c r="E37" s="16"/>
    </row>
    <row r="38" customFormat="false" ht="33.75" hidden="false" customHeight="true" outlineLevel="0" collapsed="false">
      <c r="A38" s="15"/>
      <c r="B38" s="15"/>
      <c r="C38" s="15"/>
      <c r="D38" s="15"/>
      <c r="E38" s="15"/>
    </row>
    <row r="39" customFormat="false" ht="33.75" hidden="false" customHeight="true" outlineLevel="0" collapsed="false">
      <c r="A39" s="16"/>
      <c r="B39" s="16"/>
      <c r="C39" s="16"/>
      <c r="D39" s="16"/>
      <c r="E39" s="16"/>
    </row>
    <row r="40" customFormat="false" ht="33.75" hidden="false" customHeight="true" outlineLevel="0" collapsed="false">
      <c r="A40" s="15"/>
      <c r="B40" s="15"/>
      <c r="C40" s="15"/>
      <c r="D40" s="15"/>
      <c r="E40" s="15"/>
    </row>
    <row r="41" customFormat="false" ht="33.75" hidden="false" customHeight="true" outlineLevel="0" collapsed="false">
      <c r="A41" s="16"/>
      <c r="B41" s="16"/>
      <c r="C41" s="16"/>
      <c r="D41" s="16"/>
      <c r="E41" s="16"/>
    </row>
    <row r="42" customFormat="false" ht="33.75" hidden="false" customHeight="true" outlineLevel="0" collapsed="false">
      <c r="A42" s="15"/>
      <c r="B42" s="15"/>
      <c r="C42" s="15"/>
      <c r="D42" s="15"/>
      <c r="E42" s="15"/>
    </row>
    <row r="43" customFormat="false" ht="33.75" hidden="false" customHeight="true" outlineLevel="0" collapsed="false">
      <c r="A43" s="16"/>
      <c r="B43" s="16"/>
      <c r="C43" s="16"/>
      <c r="D43" s="16"/>
      <c r="E43" s="16"/>
    </row>
    <row r="44" customFormat="false" ht="33.75" hidden="false" customHeight="true" outlineLevel="0" collapsed="false">
      <c r="A44" s="15"/>
      <c r="B44" s="15"/>
      <c r="C44" s="15"/>
      <c r="D44" s="15"/>
      <c r="E44" s="15"/>
    </row>
    <row r="45" customFormat="false" ht="33.75" hidden="false" customHeight="true" outlineLevel="0" collapsed="false">
      <c r="A45" s="16"/>
      <c r="B45" s="16"/>
      <c r="C45" s="16"/>
      <c r="D45" s="16"/>
      <c r="E45" s="16"/>
    </row>
  </sheetData>
  <mergeCells count="2">
    <mergeCell ref="A1:E1"/>
    <mergeCell ref="A2:E2"/>
  </mergeCells>
  <dataValidations count="1">
    <dataValidation allowBlank="true" error="Responda Sí o No." errorStyle="stop" errorTitle="Valor no admitido" operator="between" showDropDown="false" showErrorMessage="true" showInputMessage="false" sqref="E5:E45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3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7" min="7" style="0" width="14"/>
  </cols>
  <sheetData>
    <row r="1" customFormat="false" ht="19.5" hidden="false" customHeight="true" outlineLevel="0" collapsed="false">
      <c r="A1" s="1" t="s">
        <v>135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136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12" t="s">
        <v>137</v>
      </c>
      <c r="B4" s="12" t="s">
        <v>138</v>
      </c>
      <c r="C4" s="12" t="s">
        <v>139</v>
      </c>
      <c r="D4" s="12" t="s">
        <v>140</v>
      </c>
      <c r="E4" s="12" t="s">
        <v>141</v>
      </c>
      <c r="F4" s="12" t="s">
        <v>142</v>
      </c>
      <c r="G4" s="12" t="s">
        <v>143</v>
      </c>
    </row>
    <row r="5" customFormat="false" ht="33.75" hidden="false" customHeight="true" outlineLevel="0" collapsed="false">
      <c r="A5" s="16" t="n">
        <v>1</v>
      </c>
      <c r="B5" s="16"/>
      <c r="C5" s="16"/>
      <c r="D5" s="16"/>
      <c r="E5" s="16"/>
      <c r="F5" s="16"/>
      <c r="G5" s="16"/>
    </row>
    <row r="6" customFormat="false" ht="33.75" hidden="false" customHeight="true" outlineLevel="0" collapsed="false">
      <c r="A6" s="15" t="n">
        <v>2</v>
      </c>
      <c r="B6" s="15"/>
      <c r="C6" s="15"/>
      <c r="D6" s="15"/>
      <c r="E6" s="15"/>
      <c r="F6" s="15"/>
      <c r="G6" s="15"/>
    </row>
    <row r="7" customFormat="false" ht="33.75" hidden="false" customHeight="true" outlineLevel="0" collapsed="false">
      <c r="A7" s="16" t="n">
        <v>3</v>
      </c>
      <c r="B7" s="16"/>
      <c r="C7" s="16"/>
      <c r="D7" s="16"/>
      <c r="E7" s="16"/>
      <c r="F7" s="16"/>
      <c r="G7" s="16"/>
    </row>
    <row r="8" customFormat="false" ht="33.75" hidden="false" customHeight="true" outlineLevel="0" collapsed="false">
      <c r="A8" s="15" t="n">
        <v>4</v>
      </c>
      <c r="B8" s="15"/>
      <c r="C8" s="15"/>
      <c r="D8" s="15"/>
      <c r="E8" s="15"/>
      <c r="F8" s="15"/>
      <c r="G8" s="15"/>
    </row>
    <row r="9" customFormat="false" ht="33.75" hidden="false" customHeight="true" outlineLevel="0" collapsed="false">
      <c r="A9" s="16" t="n">
        <v>5</v>
      </c>
      <c r="B9" s="16"/>
      <c r="C9" s="16"/>
      <c r="D9" s="16"/>
      <c r="E9" s="16"/>
      <c r="F9" s="16"/>
      <c r="G9" s="16"/>
    </row>
    <row r="10" customFormat="false" ht="33.75" hidden="false" customHeight="true" outlineLevel="0" collapsed="false">
      <c r="A10" s="15" t="n">
        <v>6</v>
      </c>
      <c r="B10" s="15"/>
      <c r="C10" s="15"/>
      <c r="D10" s="15"/>
      <c r="E10" s="15"/>
      <c r="F10" s="15"/>
      <c r="G10" s="15"/>
    </row>
    <row r="11" customFormat="false" ht="33.75" hidden="false" customHeight="true" outlineLevel="0" collapsed="false">
      <c r="A11" s="16" t="n">
        <v>7</v>
      </c>
      <c r="B11" s="16"/>
      <c r="C11" s="16"/>
      <c r="D11" s="16"/>
      <c r="E11" s="16"/>
      <c r="F11" s="16"/>
      <c r="G11" s="16"/>
    </row>
    <row r="12" customFormat="false" ht="33.75" hidden="false" customHeight="true" outlineLevel="0" collapsed="false">
      <c r="A12" s="15" t="n">
        <v>8</v>
      </c>
      <c r="B12" s="15"/>
      <c r="C12" s="15"/>
      <c r="D12" s="15"/>
      <c r="E12" s="15"/>
      <c r="F12" s="15"/>
      <c r="G12" s="15"/>
    </row>
    <row r="15" customFormat="false" ht="15" hidden="false" customHeight="false" outlineLevel="0" collapsed="false">
      <c r="A15" s="17" t="s">
        <v>144</v>
      </c>
    </row>
    <row r="16" customFormat="false" ht="21.75" hidden="false" customHeight="true" outlineLevel="0" collapsed="false">
      <c r="A16" s="18" t="s">
        <v>145</v>
      </c>
      <c r="B16" s="9"/>
    </row>
    <row r="17" customFormat="false" ht="21.75" hidden="false" customHeight="true" outlineLevel="0" collapsed="false">
      <c r="A17" s="18" t="s">
        <v>146</v>
      </c>
      <c r="B17" s="9"/>
    </row>
    <row r="18" customFormat="false" ht="21.75" hidden="false" customHeight="true" outlineLevel="0" collapsed="false">
      <c r="A18" s="18" t="s">
        <v>147</v>
      </c>
      <c r="B18" s="9"/>
    </row>
    <row r="19" customFormat="false" ht="21.75" hidden="false" customHeight="true" outlineLevel="0" collapsed="false">
      <c r="A19" s="19" t="s">
        <v>148</v>
      </c>
      <c r="B19" s="10" t="str">
        <f aca="false">IF(COUNT(B16:B18)=3,B16*B17*B18,"")</f>
        <v/>
      </c>
    </row>
    <row r="20" customFormat="false" ht="21.75" hidden="false" customHeight="true" outlineLevel="0" collapsed="false">
      <c r="A20" s="18" t="s">
        <v>149</v>
      </c>
      <c r="B20" s="9"/>
    </row>
    <row r="21" customFormat="false" ht="21.75" hidden="false" customHeight="true" outlineLevel="0" collapsed="false">
      <c r="A21" s="19" t="s">
        <v>150</v>
      </c>
      <c r="B21" s="10" t="str">
        <f aca="false">IF(B19="","",B19-N(B20))</f>
        <v/>
      </c>
    </row>
    <row r="22" customFormat="false" ht="21.75" hidden="false" customHeight="true" outlineLevel="0" collapsed="false">
      <c r="A22" s="19" t="s">
        <v>151</v>
      </c>
      <c r="B22" s="10" t="n">
        <f aca="false">SUM(G5:G12)</f>
        <v>0</v>
      </c>
    </row>
    <row r="23" customFormat="false" ht="21.75" hidden="false" customHeight="true" outlineLevel="0" collapsed="false">
      <c r="A23" s="19" t="s">
        <v>152</v>
      </c>
      <c r="B23" s="10" t="str">
        <f aca="false">IF(B21="","",B21-B22)</f>
        <v/>
      </c>
    </row>
    <row r="25" customFormat="false" ht="15" hidden="false" customHeight="false" outlineLevel="0" collapsed="false">
      <c r="A25" s="17" t="s">
        <v>153</v>
      </c>
    </row>
    <row r="26" customFormat="false" ht="25.5" hidden="false" customHeight="true" outlineLevel="0" collapsed="false">
      <c r="A26" s="19" t="s">
        <v>154</v>
      </c>
      <c r="B26" s="18"/>
      <c r="C26" s="18"/>
      <c r="D26" s="18"/>
      <c r="E26" s="18"/>
      <c r="F26" s="18"/>
    </row>
    <row r="27" customFormat="false" ht="25.5" hidden="false" customHeight="true" outlineLevel="0" collapsed="false">
      <c r="A27" s="19" t="s">
        <v>155</v>
      </c>
      <c r="B27" s="18"/>
      <c r="C27" s="18"/>
      <c r="D27" s="18"/>
      <c r="E27" s="18"/>
      <c r="F27" s="18"/>
    </row>
    <row r="28" customFormat="false" ht="25.5" hidden="false" customHeight="true" outlineLevel="0" collapsed="false">
      <c r="A28" s="19" t="s">
        <v>156</v>
      </c>
      <c r="B28" s="18" t="s">
        <v>157</v>
      </c>
      <c r="C28" s="18"/>
      <c r="D28" s="18"/>
      <c r="E28" s="18"/>
      <c r="F28" s="18"/>
    </row>
  </sheetData>
  <mergeCells count="5">
    <mergeCell ref="A1:G1"/>
    <mergeCell ref="A2:G2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6" min="5" style="0" width="15"/>
    <col collapsed="false" customWidth="true" hidden="false" outlineLevel="0" max="7" min="7" style="0" width="46"/>
  </cols>
  <sheetData>
    <row r="1" customFormat="false" ht="19.5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159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12" t="s">
        <v>160</v>
      </c>
      <c r="B4" s="12" t="s">
        <v>161</v>
      </c>
      <c r="C4" s="12" t="s">
        <v>162</v>
      </c>
      <c r="D4" s="12" t="s">
        <v>163</v>
      </c>
      <c r="E4" s="12" t="s">
        <v>164</v>
      </c>
      <c r="F4" s="12" t="s">
        <v>165</v>
      </c>
      <c r="G4" s="12" t="s">
        <v>166</v>
      </c>
    </row>
    <row r="5" customFormat="false" ht="33.75" hidden="false" customHeight="true" outlineLevel="0" collapsed="false">
      <c r="A5" s="13" t="s">
        <v>167</v>
      </c>
      <c r="B5" s="13" t="s">
        <v>168</v>
      </c>
      <c r="C5" s="13" t="n">
        <v>160</v>
      </c>
      <c r="D5" s="13" t="s">
        <v>169</v>
      </c>
      <c r="E5" s="20" t="n">
        <v>0</v>
      </c>
      <c r="F5" s="21" t="n">
        <f aca="false">IF(OR($C5="",$E5=""),"",$C5*$E5)</f>
        <v>0</v>
      </c>
      <c r="G5" s="13" t="s">
        <v>170</v>
      </c>
    </row>
    <row r="6" customFormat="false" ht="33.75" hidden="false" customHeight="true" outlineLevel="0" collapsed="false">
      <c r="A6" s="15"/>
      <c r="B6" s="15"/>
      <c r="C6" s="15"/>
      <c r="D6" s="15"/>
      <c r="E6" s="22"/>
      <c r="F6" s="21" t="str">
        <f aca="false">IF(OR($C6="",$E6=""),"",$C6*$E6)</f>
        <v/>
      </c>
      <c r="G6" s="15"/>
    </row>
    <row r="7" customFormat="false" ht="33.75" hidden="false" customHeight="true" outlineLevel="0" collapsed="false">
      <c r="A7" s="16"/>
      <c r="B7" s="16"/>
      <c r="C7" s="16"/>
      <c r="D7" s="16"/>
      <c r="E7" s="23"/>
      <c r="F7" s="21" t="str">
        <f aca="false">IF(OR($C7="",$E7=""),"",$C7*$E7)</f>
        <v/>
      </c>
      <c r="G7" s="16"/>
    </row>
    <row r="8" customFormat="false" ht="33.75" hidden="false" customHeight="true" outlineLevel="0" collapsed="false">
      <c r="A8" s="15"/>
      <c r="B8" s="15"/>
      <c r="C8" s="15"/>
      <c r="D8" s="15"/>
      <c r="E8" s="22"/>
      <c r="F8" s="21" t="str">
        <f aca="false">IF(OR($C8="",$E8=""),"",$C8*$E8)</f>
        <v/>
      </c>
      <c r="G8" s="15"/>
    </row>
    <row r="9" customFormat="false" ht="33.75" hidden="false" customHeight="true" outlineLevel="0" collapsed="false">
      <c r="A9" s="16"/>
      <c r="B9" s="16"/>
      <c r="C9" s="16"/>
      <c r="D9" s="16"/>
      <c r="E9" s="23"/>
      <c r="F9" s="21" t="str">
        <f aca="false">IF(OR($C9="",$E9=""),"",$C9*$E9)</f>
        <v/>
      </c>
      <c r="G9" s="16"/>
    </row>
    <row r="10" customFormat="false" ht="33.75" hidden="false" customHeight="true" outlineLevel="0" collapsed="false">
      <c r="A10" s="15"/>
      <c r="B10" s="15"/>
      <c r="C10" s="15"/>
      <c r="D10" s="15"/>
      <c r="E10" s="22"/>
      <c r="F10" s="21" t="str">
        <f aca="false">IF(OR($C10="",$E10=""),"",$C10*$E10)</f>
        <v/>
      </c>
      <c r="G10" s="15"/>
    </row>
    <row r="11" customFormat="false" ht="33.75" hidden="false" customHeight="true" outlineLevel="0" collapsed="false">
      <c r="A11" s="16"/>
      <c r="B11" s="16"/>
      <c r="C11" s="16"/>
      <c r="D11" s="16"/>
      <c r="E11" s="23"/>
      <c r="F11" s="21" t="str">
        <f aca="false">IF(OR($C11="",$E11=""),"",$C11*$E11)</f>
        <v/>
      </c>
      <c r="G11" s="16"/>
    </row>
    <row r="12" customFormat="false" ht="33.75" hidden="false" customHeight="true" outlineLevel="0" collapsed="false">
      <c r="A12" s="15"/>
      <c r="B12" s="15"/>
      <c r="C12" s="15"/>
      <c r="D12" s="15"/>
      <c r="E12" s="22"/>
      <c r="F12" s="21" t="str">
        <f aca="false">IF(OR($C12="",$E12=""),"",$C12*$E12)</f>
        <v/>
      </c>
      <c r="G12" s="15"/>
    </row>
    <row r="13" customFormat="false" ht="33.75" hidden="false" customHeight="true" outlineLevel="0" collapsed="false">
      <c r="A13" s="16"/>
      <c r="B13" s="16"/>
      <c r="C13" s="16"/>
      <c r="D13" s="16"/>
      <c r="E13" s="23"/>
      <c r="F13" s="21" t="str">
        <f aca="false">IF(OR($C13="",$E13=""),"",$C13*$E13)</f>
        <v/>
      </c>
      <c r="G13" s="16"/>
    </row>
    <row r="14" customFormat="false" ht="33.75" hidden="false" customHeight="true" outlineLevel="0" collapsed="false">
      <c r="A14" s="15"/>
      <c r="B14" s="15"/>
      <c r="C14" s="15"/>
      <c r="D14" s="15"/>
      <c r="E14" s="22"/>
      <c r="F14" s="21" t="str">
        <f aca="false">IF(OR($C14="",$E14=""),"",$C14*$E14)</f>
        <v/>
      </c>
      <c r="G14" s="15"/>
    </row>
    <row r="15" customFormat="false" ht="33.75" hidden="false" customHeight="true" outlineLevel="0" collapsed="false">
      <c r="A15" s="16"/>
      <c r="B15" s="16"/>
      <c r="C15" s="16"/>
      <c r="D15" s="16"/>
      <c r="E15" s="23"/>
      <c r="F15" s="21" t="str">
        <f aca="false">IF(OR($C15="",$E15=""),"",$C15*$E15)</f>
        <v/>
      </c>
      <c r="G15" s="16"/>
    </row>
    <row r="16" customFormat="false" ht="33.75" hidden="false" customHeight="true" outlineLevel="0" collapsed="false">
      <c r="A16" s="15"/>
      <c r="B16" s="15"/>
      <c r="C16" s="15"/>
      <c r="D16" s="15"/>
      <c r="E16" s="22"/>
      <c r="F16" s="21" t="str">
        <f aca="false">IF(OR($C16="",$E16=""),"",$C16*$E16)</f>
        <v/>
      </c>
      <c r="G16" s="15"/>
    </row>
    <row r="17" customFormat="false" ht="33.75" hidden="false" customHeight="true" outlineLevel="0" collapsed="false">
      <c r="A17" s="16"/>
      <c r="B17" s="16"/>
      <c r="C17" s="16"/>
      <c r="D17" s="16"/>
      <c r="E17" s="23"/>
      <c r="F17" s="21" t="str">
        <f aca="false">IF(OR($C17="",$E17=""),"",$C17*$E17)</f>
        <v/>
      </c>
      <c r="G17" s="16"/>
    </row>
    <row r="18" customFormat="false" ht="33.75" hidden="false" customHeight="true" outlineLevel="0" collapsed="false">
      <c r="A18" s="15"/>
      <c r="B18" s="15"/>
      <c r="C18" s="15"/>
      <c r="D18" s="15"/>
      <c r="E18" s="22"/>
      <c r="F18" s="21" t="str">
        <f aca="false">IF(OR($C18="",$E18=""),"",$C18*$E18)</f>
        <v/>
      </c>
      <c r="G18" s="15"/>
    </row>
    <row r="19" customFormat="false" ht="33.75" hidden="false" customHeight="true" outlineLevel="0" collapsed="false">
      <c r="A19" s="16"/>
      <c r="B19" s="16"/>
      <c r="C19" s="16"/>
      <c r="D19" s="16"/>
      <c r="E19" s="23"/>
      <c r="F19" s="21" t="str">
        <f aca="false">IF(OR($C19="",$E19=""),"",$C19*$E19)</f>
        <v/>
      </c>
      <c r="G19" s="16"/>
    </row>
    <row r="20" customFormat="false" ht="33.75" hidden="false" customHeight="true" outlineLevel="0" collapsed="false">
      <c r="A20" s="15"/>
      <c r="B20" s="15"/>
      <c r="C20" s="15"/>
      <c r="D20" s="15"/>
      <c r="E20" s="22"/>
      <c r="F20" s="21" t="str">
        <f aca="false">IF(OR($C20="",$E20=""),"",$C20*$E20)</f>
        <v/>
      </c>
      <c r="G20" s="15"/>
    </row>
    <row r="21" customFormat="false" ht="33.75" hidden="false" customHeight="true" outlineLevel="0" collapsed="false">
      <c r="A21" s="16"/>
      <c r="B21" s="16"/>
      <c r="C21" s="16"/>
      <c r="D21" s="16"/>
      <c r="E21" s="23"/>
      <c r="F21" s="21" t="str">
        <f aca="false">IF(OR($C21="",$E21=""),"",$C21*$E21)</f>
        <v/>
      </c>
      <c r="G21" s="16"/>
    </row>
    <row r="22" customFormat="false" ht="33.75" hidden="false" customHeight="true" outlineLevel="0" collapsed="false">
      <c r="A22" s="15"/>
      <c r="B22" s="15"/>
      <c r="C22" s="15"/>
      <c r="D22" s="15"/>
      <c r="E22" s="22"/>
      <c r="F22" s="21" t="str">
        <f aca="false">IF(OR($C22="",$E22=""),"",$C22*$E22)</f>
        <v/>
      </c>
      <c r="G22" s="15"/>
    </row>
    <row r="23" customFormat="false" ht="33.75" hidden="false" customHeight="true" outlineLevel="0" collapsed="false">
      <c r="A23" s="16"/>
      <c r="B23" s="16"/>
      <c r="C23" s="16"/>
      <c r="D23" s="16"/>
      <c r="E23" s="23"/>
      <c r="F23" s="21" t="str">
        <f aca="false">IF(OR($C23="",$E23=""),"",$C23*$E23)</f>
        <v/>
      </c>
      <c r="G23" s="16"/>
    </row>
    <row r="24" customFormat="false" ht="33.75" hidden="false" customHeight="true" outlineLevel="0" collapsed="false">
      <c r="A24" s="15"/>
      <c r="B24" s="15"/>
      <c r="C24" s="15"/>
      <c r="D24" s="15"/>
      <c r="E24" s="22"/>
      <c r="F24" s="21" t="str">
        <f aca="false">IF(OR($C24="",$E24=""),"",$C24*$E24)</f>
        <v/>
      </c>
      <c r="G24" s="15"/>
    </row>
    <row r="25" customFormat="false" ht="33.75" hidden="false" customHeight="true" outlineLevel="0" collapsed="false">
      <c r="A25" s="16"/>
      <c r="B25" s="16"/>
      <c r="C25" s="16"/>
      <c r="D25" s="16"/>
      <c r="E25" s="23"/>
      <c r="F25" s="21" t="str">
        <f aca="false">IF(OR($C25="",$E25=""),"",$C25*$E25)</f>
        <v/>
      </c>
      <c r="G25" s="16"/>
    </row>
    <row r="26" customFormat="false" ht="33.75" hidden="false" customHeight="true" outlineLevel="0" collapsed="false">
      <c r="A26" s="15"/>
      <c r="B26" s="15"/>
      <c r="C26" s="15"/>
      <c r="D26" s="15"/>
      <c r="E26" s="22"/>
      <c r="F26" s="21" t="str">
        <f aca="false">IF(OR($C26="",$E26=""),"",$C26*$E26)</f>
        <v/>
      </c>
      <c r="G26" s="15"/>
    </row>
    <row r="27" customFormat="false" ht="33.75" hidden="false" customHeight="true" outlineLevel="0" collapsed="false">
      <c r="A27" s="16"/>
      <c r="B27" s="16"/>
      <c r="C27" s="16"/>
      <c r="D27" s="16"/>
      <c r="E27" s="23"/>
      <c r="F27" s="21" t="str">
        <f aca="false">IF(OR($C27="",$E27=""),"",$C27*$E27)</f>
        <v/>
      </c>
      <c r="G27" s="16"/>
    </row>
    <row r="28" customFormat="false" ht="33.75" hidden="false" customHeight="true" outlineLevel="0" collapsed="false">
      <c r="A28" s="15"/>
      <c r="B28" s="15"/>
      <c r="C28" s="15"/>
      <c r="D28" s="15"/>
      <c r="E28" s="22"/>
      <c r="F28" s="21" t="str">
        <f aca="false">IF(OR($C28="",$E28=""),"",$C28*$E28)</f>
        <v/>
      </c>
      <c r="G28" s="15"/>
    </row>
    <row r="29" customFormat="false" ht="33.75" hidden="false" customHeight="true" outlineLevel="0" collapsed="false">
      <c r="A29" s="16"/>
      <c r="B29" s="16"/>
      <c r="C29" s="16"/>
      <c r="D29" s="16"/>
      <c r="E29" s="23"/>
      <c r="F29" s="21" t="str">
        <f aca="false">IF(OR($C29="",$E29=""),"",$C29*$E29)</f>
        <v/>
      </c>
      <c r="G29" s="16"/>
    </row>
    <row r="30" customFormat="false" ht="33.75" hidden="false" customHeight="true" outlineLevel="0" collapsed="false">
      <c r="A30" s="15"/>
      <c r="B30" s="15"/>
      <c r="C30" s="15"/>
      <c r="D30" s="15"/>
      <c r="E30" s="22"/>
      <c r="F30" s="21" t="str">
        <f aca="false">IF(OR($C30="",$E30=""),"",$C30*$E30)</f>
        <v/>
      </c>
      <c r="G30" s="15"/>
    </row>
    <row r="31" customFormat="false" ht="33.75" hidden="false" customHeight="true" outlineLevel="0" collapsed="false">
      <c r="A31" s="16"/>
      <c r="B31" s="16"/>
      <c r="C31" s="16"/>
      <c r="D31" s="16"/>
      <c r="E31" s="23"/>
      <c r="F31" s="21" t="str">
        <f aca="false">IF(OR($C31="",$E31=""),"",$C31*$E31)</f>
        <v/>
      </c>
      <c r="G31" s="16"/>
    </row>
    <row r="32" customFormat="false" ht="33.75" hidden="false" customHeight="true" outlineLevel="0" collapsed="false">
      <c r="A32" s="15"/>
      <c r="B32" s="15"/>
      <c r="C32" s="15"/>
      <c r="D32" s="15"/>
      <c r="E32" s="22"/>
      <c r="F32" s="21" t="str">
        <f aca="false">IF(OR($C32="",$E32=""),"",$C32*$E32)</f>
        <v/>
      </c>
      <c r="G32" s="15"/>
    </row>
    <row r="33" customFormat="false" ht="33.75" hidden="false" customHeight="true" outlineLevel="0" collapsed="false">
      <c r="A33" s="16"/>
      <c r="B33" s="16"/>
      <c r="C33" s="16"/>
      <c r="D33" s="16"/>
      <c r="E33" s="23"/>
      <c r="F33" s="21" t="str">
        <f aca="false">IF(OR($C33="",$E33=""),"",$C33*$E33)</f>
        <v/>
      </c>
      <c r="G33" s="16"/>
    </row>
    <row r="34" customFormat="false" ht="33.75" hidden="false" customHeight="true" outlineLevel="0" collapsed="false">
      <c r="A34" s="15"/>
      <c r="B34" s="15"/>
      <c r="C34" s="15"/>
      <c r="D34" s="15"/>
      <c r="E34" s="22"/>
      <c r="F34" s="21" t="str">
        <f aca="false">IF(OR($C34="",$E34=""),"",$C34*$E34)</f>
        <v/>
      </c>
      <c r="G34" s="15"/>
    </row>
    <row r="36" customFormat="false" ht="15" hidden="false" customHeight="false" outlineLevel="0" collapsed="false">
      <c r="E36" s="7" t="s">
        <v>171</v>
      </c>
      <c r="F36" s="24" t="n">
        <f aca="false">SUM(F5:F34)</f>
        <v>0</v>
      </c>
    </row>
    <row r="37" customFormat="false" ht="15" hidden="false" customHeight="false" outlineLevel="0" collapsed="false">
      <c r="E37" s="7" t="s">
        <v>172</v>
      </c>
      <c r="F37" s="25" t="n">
        <f aca="false">SUMIF($A$5:$A$34,"Humanos",$C$5:$C$34)</f>
        <v>160</v>
      </c>
    </row>
    <row r="38" customFormat="false" ht="15" hidden="false" customHeight="false" outlineLevel="0" collapsed="false">
      <c r="E38" s="7" t="s">
        <v>173</v>
      </c>
      <c r="F38" s="25" t="str">
        <f aca="false">IF(Iteraciones!$B$21="","Falta el presupuesto efectivo",IF(F37=Iteraciones!$B$21,"Coherente",IF(F37&gt;Iteraciones!$B$21,"Excede el presupuesto","No agota el presupuesto: revisar")))</f>
        <v>Falta el presupuesto efectivo</v>
      </c>
    </row>
  </sheetData>
  <mergeCells count="2">
    <mergeCell ref="A1:G1"/>
    <mergeCell ref="A2:G2"/>
  </mergeCells>
  <dataValidations count="1">
    <dataValidation allowBlank="true" error="Clases admitidas: Humanos, Físicos y materiales, Financieros, Tecnológicos u Otros." errorStyle="stop" errorTitle="Valor no admitido" operator="between" showDropDown="false" showErrorMessage="true" showInputMessage="false" sqref="A5:A34" type="list">
      <formula1>"Humanos,Físicos y materiales,Financieros,Tecnológicos,Otros"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9.5" hidden="false" customHeight="true" outlineLevel="0" collapsed="false">
      <c r="A1" s="1" t="s">
        <v>174</v>
      </c>
      <c r="B1" s="1"/>
      <c r="C1" s="1"/>
    </row>
    <row r="2" customFormat="false" ht="25.5" hidden="false" customHeight="true" outlineLevel="0" collapsed="false">
      <c r="A2" s="2" t="s">
        <v>175</v>
      </c>
      <c r="B2" s="2"/>
      <c r="C2" s="2"/>
    </row>
    <row r="4" customFormat="false" ht="30" hidden="false" customHeight="true" outlineLevel="0" collapsed="false">
      <c r="A4" s="12" t="s">
        <v>176</v>
      </c>
      <c r="B4" s="12" t="s">
        <v>177</v>
      </c>
      <c r="C4" s="12" t="s">
        <v>178</v>
      </c>
    </row>
    <row r="5" customFormat="false" ht="30" hidden="false" customHeight="true" outlineLevel="0" collapsed="false">
      <c r="A5" s="26" t="s">
        <v>179</v>
      </c>
      <c r="B5" s="27" t="n">
        <f aca="false">COUNTIF(Catálogo!$A$5:$A$201,"?*")</f>
        <v>1</v>
      </c>
      <c r="C5" s="28" t="s">
        <v>180</v>
      </c>
    </row>
    <row r="6" customFormat="false" ht="30" hidden="false" customHeight="true" outlineLevel="0" collapsed="false">
      <c r="A6" s="26" t="s">
        <v>181</v>
      </c>
      <c r="B6" s="27" t="n">
        <f aca="false">COUNTIFS(Catálogo!$A$5:$A$201,"?*",Catálogo!$G$5:$G$201,"?*")</f>
        <v>1</v>
      </c>
      <c r="C6" s="28" t="s">
        <v>182</v>
      </c>
    </row>
    <row r="7" customFormat="false" ht="30" hidden="false" customHeight="true" outlineLevel="0" collapsed="false">
      <c r="A7" s="26" t="s">
        <v>183</v>
      </c>
      <c r="B7" s="27" t="n">
        <f aca="false">COUNTIFS(Catálogo!$A$5:$A$201,"?*",Catálogo!$H$5:$H$201,"?*")</f>
        <v>1</v>
      </c>
      <c r="C7" s="28" t="s">
        <v>184</v>
      </c>
    </row>
    <row r="8" customFormat="false" ht="30" hidden="false" customHeight="true" outlineLevel="0" collapsed="false">
      <c r="A8" s="26" t="s">
        <v>185</v>
      </c>
      <c r="B8" s="27" t="n">
        <f aca="false">COUNTIFS(Catálogo!$A$5:$A$201,"?*",Catálogo!$C$5:$C$201,"No funcional")</f>
        <v>1</v>
      </c>
      <c r="C8" s="28" t="s">
        <v>186</v>
      </c>
    </row>
    <row r="9" customFormat="false" ht="30" hidden="false" customHeight="true" outlineLevel="0" collapsed="false">
      <c r="A9" s="26" t="s">
        <v>187</v>
      </c>
      <c r="B9" s="27" t="n">
        <f aca="false">COUNTIFS(Catálogo!$C$5:$C$201,"No funcional",Catálogo!$D$5:$D$201,"")</f>
        <v>0</v>
      </c>
      <c r="C9" s="28" t="s">
        <v>188</v>
      </c>
    </row>
    <row r="10" customFormat="false" ht="30" hidden="false" customHeight="true" outlineLevel="0" collapsed="false">
      <c r="A10" s="26" t="s">
        <v>189</v>
      </c>
      <c r="B10" s="27" t="n">
        <f aca="false">COUNTIFS(Catálogo!$A$5:$A$201,"?*",Catálogo!$E$5:$E$201,"Must")</f>
        <v>1</v>
      </c>
      <c r="C10" s="28" t="s">
        <v>190</v>
      </c>
    </row>
    <row r="11" customFormat="false" ht="30" hidden="false" customHeight="true" outlineLevel="0" collapsed="false">
      <c r="A11" s="26" t="s">
        <v>191</v>
      </c>
      <c r="B11" s="27" t="n">
        <f aca="false">COUNTIFS(Catálogo!$A$5:$A$201,"?*",Catálogo!$K$5:$K$201,"Sí")</f>
        <v>1</v>
      </c>
      <c r="C11" s="28" t="s">
        <v>192</v>
      </c>
    </row>
    <row r="12" customFormat="false" ht="30" hidden="false" customHeight="true" outlineLevel="0" collapsed="false">
      <c r="A12" s="26" t="s">
        <v>193</v>
      </c>
      <c r="B12" s="27" t="str">
        <f aca="false">IF(COUNTIFS(Catálogo!$A$5:$A$201,"?*",Catálogo!$E$5:$E$201,"Must")=COUNTIFS(Catálogo!$A$5:$A$201,"?*",Catálogo!$K$5:$K$201,"Sí"),"Coherente","REVISAR")</f>
        <v>Coherente</v>
      </c>
      <c r="C12" s="28" t="s">
        <v>194</v>
      </c>
    </row>
    <row r="13" customFormat="false" ht="30" hidden="false" customHeight="true" outlineLevel="0" collapsed="false">
      <c r="A13" s="26" t="s">
        <v>195</v>
      </c>
      <c r="B13" s="27" t="n">
        <f aca="false">COUNTIFS(Catálogo!$A$5:$A$201,"?*",Catálogo!$I$5:$I$201,"Validado")</f>
        <v>1</v>
      </c>
      <c r="C13" s="28" t="s">
        <v>196</v>
      </c>
    </row>
    <row r="14" customFormat="false" ht="30" hidden="false" customHeight="true" outlineLevel="0" collapsed="false">
      <c r="A14" s="26" t="s">
        <v>197</v>
      </c>
      <c r="B14" s="27" t="n">
        <f aca="false">COUNTIF(Catálogo!$L$5:$L$201,"Faltan campos")+COUNTIF(Catálogo!$L$5:$L$201,"Falta categoría")+COUNTIF(Catálogo!$L$5:$L$201,"Falta definir si integra el MVP")</f>
        <v>0</v>
      </c>
      <c r="C14" s="28" t="s">
        <v>198</v>
      </c>
    </row>
    <row r="15" customFormat="false" ht="30" hidden="false" customHeight="true" outlineLevel="0" collapsed="false">
      <c r="A15" s="26" t="s">
        <v>199</v>
      </c>
      <c r="B15" s="27" t="n">
        <f aca="false">COUNTIF(Trazabilidad!$A$5:$A$61,"?*")</f>
        <v>1</v>
      </c>
      <c r="C15" s="28" t="s">
        <v>200</v>
      </c>
    </row>
    <row r="16" customFormat="false" ht="30" hidden="false" customHeight="true" outlineLevel="0" collapsed="false">
      <c r="A16" s="26" t="s">
        <v>201</v>
      </c>
      <c r="B16" s="27" t="n">
        <f aca="false">COUNTIF(Trazabilidad!$F$5:$F$61,"Hallazgo sin destino")</f>
        <v>0</v>
      </c>
      <c r="C16" s="28" t="s">
        <v>202</v>
      </c>
    </row>
    <row r="17" customFormat="false" ht="30" hidden="false" customHeight="true" outlineLevel="0" collapsed="false">
      <c r="A17" s="26" t="s">
        <v>203</v>
      </c>
      <c r="B17" s="27" t="n">
        <f aca="false">COUNTIF(Entidades!$E$5:$E$45,"Entidad")</f>
        <v>1</v>
      </c>
      <c r="C17" s="28" t="s">
        <v>204</v>
      </c>
    </row>
    <row r="18" customFormat="false" ht="30" hidden="false" customHeight="true" outlineLevel="0" collapsed="false">
      <c r="A18" s="26" t="s">
        <v>205</v>
      </c>
      <c r="B18" s="27" t="n">
        <f aca="false">COUNTIF(Entidades!$A$5:$A$45,"?*")-COUNTIF(Entidades!$E$5:$E$45,"Entidad")</f>
        <v>0</v>
      </c>
      <c r="C18" s="28" t="s">
        <v>206</v>
      </c>
    </row>
    <row r="19" customFormat="false" ht="30" hidden="false" customHeight="true" outlineLevel="0" collapsed="false">
      <c r="A19" s="26" t="s">
        <v>207</v>
      </c>
      <c r="B19" s="27" t="n">
        <f aca="false">COUNTIF(Reglas!$C$5:$C$40,"?*")</f>
        <v>1</v>
      </c>
      <c r="C19" s="28" t="s">
        <v>208</v>
      </c>
    </row>
    <row r="20" customFormat="false" ht="30" hidden="false" customHeight="true" outlineLevel="0" collapsed="false">
      <c r="A20" s="26" t="s">
        <v>209</v>
      </c>
      <c r="B20" s="27" t="n">
        <f aca="false">COUNTIF(Reglas!$E$5:$E$40,"Pendiente")+COUNTIF(Reglas!$E$5:$E$40,"En disputa")</f>
        <v>0</v>
      </c>
      <c r="C20" s="28" t="s">
        <v>210</v>
      </c>
    </row>
    <row r="21" customFormat="false" ht="30" hidden="false" customHeight="true" outlineLevel="0" collapsed="false">
      <c r="A21" s="26" t="s">
        <v>211</v>
      </c>
      <c r="B21" s="27" t="n">
        <f aca="false">COUNTIF(Glosario!$E$5:$E$45,"Sí")</f>
        <v>1</v>
      </c>
      <c r="C21" s="28" t="s">
        <v>212</v>
      </c>
    </row>
    <row r="22" customFormat="false" ht="30" hidden="false" customHeight="true" outlineLevel="0" collapsed="false">
      <c r="A22" s="26" t="s">
        <v>213</v>
      </c>
      <c r="B22" s="27" t="n">
        <f aca="false">SUM(Iteraciones!$G$5:$G$12)</f>
        <v>0</v>
      </c>
      <c r="C22" s="28" t="s">
        <v>214</v>
      </c>
    </row>
    <row r="23" customFormat="false" ht="30" hidden="false" customHeight="true" outlineLevel="0" collapsed="false">
      <c r="A23" s="26" t="s">
        <v>215</v>
      </c>
      <c r="B23" s="27" t="str">
        <f aca="false">Recursos!$F$38</f>
        <v>Falta el presupuesto efectivo</v>
      </c>
      <c r="C23" s="28" t="s">
        <v>216</v>
      </c>
    </row>
    <row r="25" customFormat="false" ht="15" hidden="false" customHeight="false" outlineLevel="0" collapsed="false">
      <c r="A25" s="17" t="s">
        <v>217</v>
      </c>
    </row>
    <row r="26" customFormat="false" ht="15" hidden="false" customHeight="true" outlineLevel="0" collapsed="false">
      <c r="A26" s="29" t="s">
        <v>218</v>
      </c>
      <c r="B26" s="29"/>
      <c r="C26" s="29"/>
    </row>
    <row r="27" customFormat="false" ht="15" hidden="false" customHeight="false" outlineLevel="0" collapsed="false">
      <c r="A27" s="29"/>
      <c r="B27" s="29"/>
      <c r="C27" s="29"/>
    </row>
  </sheetData>
  <mergeCells count="3">
    <mergeCell ref="A1:C1"/>
    <mergeCell ref="A2:C2"/>
    <mergeCell ref="A26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2026-09-10T23:59:21Z</dcterms:created>
  <dc:creator>openpyxl</dc:creator>
  <dc:description/>
  <dc:language>en-US</dc:language>
  <cp:lastModifiedBy/>
  <dcterms:modified xsi:type="dcterms:W3CDTF">2026-09-10T23:59:22Z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