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nstrucciones" sheetId="1" state="visible" r:id="rId1"/>
    <sheet name="Catálogo" sheetId="2" state="visible" r:id="rId2"/>
    <sheet name="Trazabilidad" sheetId="3" state="visible" r:id="rId3"/>
    <sheet name="Entidades" sheetId="4" state="visible" r:id="rId4"/>
    <sheet name="Reglas" sheetId="5" state="visible" r:id="rId5"/>
    <sheet name="Glosario" sheetId="6" state="visible" r:id="rId6"/>
    <sheet name="Iteraciones" sheetId="7" state="visible" r:id="rId7"/>
    <sheet name="Recursos" sheetId="8" state="visible" r:id="rId8"/>
    <sheet name="Panel"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20">
    <font>
      <name val="Calibri"/>
      <charset val="1"/>
      <family val="2"/>
      <color theme="1"/>
      <sz val="11"/>
    </font>
    <font>
      <name val="Arial"/>
      <family val="0"/>
      <sz val="10"/>
    </font>
    <font>
      <name val="Arial"/>
      <family val="0"/>
      <sz val="10"/>
    </font>
    <font>
      <name val="Arial"/>
      <family val="0"/>
      <sz val="10"/>
    </font>
    <font>
      <name val="Arial"/>
      <charset val="1"/>
      <family val="0"/>
      <b val="1"/>
      <color rgb="FF1F3A6E"/>
      <sz val="13"/>
    </font>
    <font>
      <name val="Arial"/>
      <charset val="1"/>
      <family val="0"/>
      <i val="1"/>
      <color rgb="FF5A6A80"/>
      <sz val="9"/>
    </font>
    <font>
      <name val="Arial"/>
      <charset val="1"/>
      <family val="0"/>
      <b val="1"/>
      <color rgb="FF1F3A6E"/>
      <sz val="10"/>
    </font>
    <font>
      <name val="Arial"/>
      <charset val="1"/>
      <family val="0"/>
      <sz val="10"/>
    </font>
    <font>
      <name val="Arial"/>
      <charset val="1"/>
      <family val="0"/>
      <b val="1"/>
      <sz val="9"/>
    </font>
    <font>
      <name val="Arial"/>
      <charset val="1"/>
      <family val="0"/>
      <sz val="9"/>
    </font>
    <font>
      <name val="Arial"/>
      <charset val="1"/>
      <family val="0"/>
      <b val="1"/>
      <color rgb="FFFFFFFF"/>
      <sz val="9"/>
    </font>
    <font>
      <name val="Arial"/>
      <charset val="1"/>
      <family val="0"/>
      <i val="1"/>
      <color rgb="FF7A6A2E"/>
      <sz val="9"/>
    </font>
    <font>
      <name val="Arial"/>
      <charset val="1"/>
      <family val="0"/>
      <b val="1"/>
      <color rgb="FF7A5C00"/>
      <sz val="9"/>
    </font>
    <font>
      <name val="Arial"/>
      <charset val="1"/>
      <family val="0"/>
      <color rgb="FF1C2430"/>
      <sz val="9"/>
    </font>
    <font>
      <name val="Arial"/>
      <family val="2"/>
      <sz val="10"/>
    </font>
    <font>
      <name val="Arial"/>
      <charset val="1"/>
      <family val="0"/>
      <b val="1"/>
      <color rgb="FF1F3A6E"/>
      <sz val="11"/>
    </font>
    <font>
      <name val="Arial"/>
      <charset val="1"/>
      <family val="0"/>
      <color rgb="FF7A5C00"/>
      <sz val="9"/>
    </font>
    <font>
      <name val="Arial"/>
      <charset val="1"/>
      <family val="0"/>
      <b val="1"/>
      <sz val="10"/>
    </font>
    <font>
      <name val="Arial"/>
      <charset val="1"/>
      <family val="0"/>
      <b val="1"/>
      <color rgb="FF7A5C00"/>
      <sz val="10"/>
    </font>
    <font>
      <name val="Arial"/>
      <charset val="1"/>
      <family val="0"/>
      <color rgb="FF5A6A80"/>
      <sz val="9"/>
    </font>
  </fonts>
  <fills count="7">
    <fill>
      <patternFill/>
    </fill>
    <fill>
      <patternFill patternType="gray125"/>
    </fill>
    <fill>
      <patternFill patternType="solid">
        <fgColor rgb="FFF2F5FA"/>
        <bgColor rgb="FFFDF4E2"/>
      </patternFill>
    </fill>
    <fill>
      <patternFill patternType="solid">
        <fgColor rgb="FFFDF4E2"/>
        <bgColor rgb="FFFFF6D6"/>
      </patternFill>
    </fill>
    <fill>
      <patternFill patternType="solid">
        <fgColor rgb="FFFFF6D6"/>
        <bgColor rgb="FFFDF4E2"/>
      </patternFill>
    </fill>
    <fill>
      <patternFill patternType="solid">
        <fgColor rgb="FF1F3A6E"/>
        <bgColor rgb="FF333399"/>
      </patternFill>
    </fill>
    <fill>
      <patternFill patternType="solid">
        <fgColor rgb="FFFBEAEA"/>
        <bgColor rgb="FFFDF4E2"/>
      </patternFill>
    </fill>
  </fills>
  <borders count="6">
    <border>
      <left/>
      <right/>
      <top/>
      <bottom/>
      <diagonal/>
    </border>
    <border>
      <left style="thin">
        <color rgb="FFB9C4D6"/>
      </left>
      <right style="thin">
        <color rgb="FFB9C4D6"/>
      </right>
      <top style="thin">
        <color rgb="FFB9C4D6"/>
      </top>
      <bottom style="thin">
        <color rgb="FFB9C4D6"/>
      </bottom>
      <diagonal/>
    </border>
    <border>
      <left/>
      <right/>
      <top style="thin">
        <color rgb="FFB9C4D6"/>
      </top>
      <bottom/>
      <diagonal/>
    </border>
    <border>
      <left/>
      <right style="thin">
        <color rgb="FFB9C4D6"/>
      </right>
      <top style="thin">
        <color rgb="FFB9C4D6"/>
      </top>
      <bottom/>
      <diagonal/>
    </border>
    <border>
      <left/>
      <right/>
      <top style="thin">
        <color rgb="FFB9C4D6"/>
      </top>
      <bottom style="thin">
        <color rgb="FFB9C4D6"/>
      </bottom>
      <diagonal/>
    </border>
    <border>
      <left/>
      <right style="thin">
        <color rgb="FFB9C4D6"/>
      </right>
      <top style="thin">
        <color rgb="FFB9C4D6"/>
      </top>
      <bottom style="thin">
        <color rgb="FFB9C4D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top" wrapText="1"/>
    </xf>
    <xf numFmtId="0" fontId="7" fillId="2" borderId="1" applyAlignment="1" pivotButton="0" quotePrefix="0" xfId="0">
      <alignment horizontal="general" vertical="top" wrapText="1"/>
    </xf>
    <xf numFmtId="0" fontId="6" fillId="0" borderId="1" applyAlignment="1" pivotButton="0" quotePrefix="0" xfId="0">
      <alignment horizontal="general" vertical="top" wrapText="1"/>
    </xf>
    <xf numFmtId="0" fontId="7" fillId="0" borderId="1" applyAlignment="1" pivotButton="0" quotePrefix="0" xfId="0">
      <alignment horizontal="general" vertical="top" wrapText="1"/>
    </xf>
    <xf numFmtId="0" fontId="6" fillId="0" borderId="0" applyAlignment="1" pivotButton="0" quotePrefix="0" xfId="0">
      <alignment horizontal="general" vertical="bottom"/>
    </xf>
    <xf numFmtId="0" fontId="8" fillId="3" borderId="1" applyAlignment="1" pivotButton="0" quotePrefix="0" xfId="0">
      <alignment horizontal="general" vertical="bottom"/>
    </xf>
    <xf numFmtId="0" fontId="9" fillId="0" borderId="1" applyAlignment="1" pivotButton="0" quotePrefix="0" xfId="0">
      <alignment horizontal="general" vertical="bottom"/>
    </xf>
    <xf numFmtId="0" fontId="8" fillId="4" borderId="1" applyAlignment="1" pivotButton="0" quotePrefix="0" xfId="0">
      <alignment horizontal="general" vertical="bottom"/>
    </xf>
    <xf numFmtId="0" fontId="8" fillId="2" borderId="1" applyAlignment="1" pivotButton="0" quotePrefix="0" xfId="0">
      <alignment horizontal="general" vertical="bottom"/>
    </xf>
    <xf numFmtId="0" fontId="10" fillId="5" borderId="1" applyAlignment="1" pivotButton="0" quotePrefix="0" xfId="0">
      <alignment horizontal="general" vertical="center" wrapText="1"/>
    </xf>
    <xf numFmtId="0" fontId="11" fillId="3" borderId="1" applyAlignment="1" pivotButton="0" quotePrefix="0" xfId="0">
      <alignment horizontal="general" vertical="top" wrapText="1"/>
    </xf>
    <xf numFmtId="0" fontId="12" fillId="4" borderId="1" applyAlignment="1" pivotButton="0" quotePrefix="0" xfId="0">
      <alignment horizontal="general" vertical="top" wrapText="1"/>
    </xf>
    <xf numFmtId="0" fontId="13" fillId="2" borderId="1" applyAlignment="1" pivotButton="0" quotePrefix="0" xfId="0">
      <alignment horizontal="general" vertical="top" wrapText="1"/>
    </xf>
    <xf numFmtId="0" fontId="13" fillId="0" borderId="1" applyAlignment="1" pivotButton="0" quotePrefix="0" xfId="0">
      <alignment horizontal="general" vertical="top" wrapText="1"/>
    </xf>
    <xf numFmtId="0" fontId="15" fillId="0" borderId="0" applyAlignment="1" pivotButton="0" quotePrefix="0" xfId="0">
      <alignment horizontal="general" vertical="bottom"/>
    </xf>
    <xf numFmtId="0" fontId="9" fillId="0" borderId="1" applyAlignment="1" pivotButton="0" quotePrefix="0" xfId="0">
      <alignment horizontal="general" vertical="center" wrapText="1"/>
    </xf>
    <xf numFmtId="0" fontId="8" fillId="0" borderId="1" applyAlignment="1" pivotButton="0" quotePrefix="0" xfId="0">
      <alignment horizontal="general" vertical="center" wrapText="1"/>
    </xf>
    <xf numFmtId="4" fontId="11" fillId="3" borderId="1" applyAlignment="1" pivotButton="0" quotePrefix="0" xfId="0">
      <alignment horizontal="general" vertical="top" wrapText="1"/>
    </xf>
    <xf numFmtId="4" fontId="16" fillId="4" borderId="1" applyAlignment="1" pivotButton="0" quotePrefix="0" xfId="0">
      <alignment horizontal="general" vertical="top" wrapText="1"/>
    </xf>
    <xf numFmtId="4" fontId="13" fillId="2" borderId="1" applyAlignment="1" pivotButton="0" quotePrefix="0" xfId="0">
      <alignment horizontal="general" vertical="top" wrapText="1"/>
    </xf>
    <xf numFmtId="4" fontId="13" fillId="0" borderId="1" applyAlignment="1" pivotButton="0" quotePrefix="0" xfId="0">
      <alignment horizontal="general" vertical="top" wrapText="1"/>
    </xf>
    <xf numFmtId="4" fontId="17" fillId="4" borderId="1" applyAlignment="1" pivotButton="0" quotePrefix="0" xfId="0">
      <alignment horizontal="general" vertical="bottom"/>
    </xf>
    <xf numFmtId="0" fontId="17" fillId="4" borderId="1" applyAlignment="1" pivotButton="0" quotePrefix="0" xfId="0">
      <alignment horizontal="general" vertical="bottom"/>
    </xf>
    <xf numFmtId="0" fontId="8" fillId="0" borderId="1" applyAlignment="1" pivotButton="0" quotePrefix="0" xfId="0">
      <alignment horizontal="left" vertical="center" wrapText="1"/>
    </xf>
    <xf numFmtId="0" fontId="18" fillId="4" borderId="1" applyAlignment="1" pivotButton="0" quotePrefix="0" xfId="0">
      <alignment horizontal="center" vertical="center" wrapText="1"/>
    </xf>
    <xf numFmtId="0" fontId="19" fillId="0" borderId="1" applyAlignment="1" pivotButton="0" quotePrefix="0" xfId="0">
      <alignment horizontal="left" vertical="center" wrapText="1"/>
    </xf>
    <xf numFmtId="0" fontId="9" fillId="6"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top" wrapText="1"/>
    </xf>
    <xf numFmtId="0" fontId="7" fillId="2" borderId="1" applyAlignment="1" pivotButton="0" quotePrefix="0" xfId="0">
      <alignment horizontal="general" vertical="top" wrapText="1"/>
    </xf>
    <xf numFmtId="0" fontId="6" fillId="0" borderId="1" applyAlignment="1" pivotButton="0" quotePrefix="0" xfId="0">
      <alignment horizontal="general" vertical="top" wrapText="1"/>
    </xf>
    <xf numFmtId="0" fontId="7" fillId="0" borderId="1" applyAlignment="1" pivotButton="0" quotePrefix="0" xfId="0">
      <alignment horizontal="general" vertical="top" wrapText="1"/>
    </xf>
    <xf numFmtId="0" fontId="6" fillId="0" borderId="0" applyAlignment="1" pivotButton="0" quotePrefix="0" xfId="0">
      <alignment horizontal="general" vertical="bottom"/>
    </xf>
    <xf numFmtId="0" fontId="8" fillId="3" borderId="1" applyAlignment="1" pivotButton="0" quotePrefix="0" xfId="0">
      <alignment horizontal="general" vertical="bottom"/>
    </xf>
    <xf numFmtId="0" fontId="9" fillId="0" borderId="1" applyAlignment="1" pivotButton="0" quotePrefix="0" xfId="0">
      <alignment horizontal="general" vertical="bottom"/>
    </xf>
    <xf numFmtId="0" fontId="8" fillId="4" borderId="1" applyAlignment="1" pivotButton="0" quotePrefix="0" xfId="0">
      <alignment horizontal="general" vertical="bottom"/>
    </xf>
    <xf numFmtId="0" fontId="8" fillId="2" borderId="1" applyAlignment="1" pivotButton="0" quotePrefix="0" xfId="0">
      <alignment horizontal="general" vertical="bottom"/>
    </xf>
    <xf numFmtId="0" fontId="10" fillId="5" borderId="1" applyAlignment="1" pivotButton="0" quotePrefix="0" xfId="0">
      <alignment horizontal="general" vertical="center" wrapText="1"/>
    </xf>
    <xf numFmtId="0" fontId="11" fillId="0" borderId="1" applyAlignment="1" pivotButton="0" quotePrefix="0" xfId="0">
      <alignment horizontal="general" vertical="top" wrapText="1"/>
    </xf>
    <xf numFmtId="0" fontId="12" fillId="4" borderId="1" applyAlignment="1" pivotButton="0" quotePrefix="0" xfId="0">
      <alignment horizontal="general" vertical="top" wrapText="1"/>
    </xf>
    <xf numFmtId="0" fontId="13" fillId="2" borderId="1" applyAlignment="1" pivotButton="0" quotePrefix="0" xfId="0">
      <alignment horizontal="general" vertical="top" wrapText="1"/>
    </xf>
    <xf numFmtId="0" fontId="13" fillId="0" borderId="1" applyAlignment="1" pivotButton="0" quotePrefix="0" xfId="0">
      <alignment horizontal="general" vertical="top" wrapText="1"/>
    </xf>
    <xf numFmtId="0" fontId="15" fillId="0" borderId="0" applyAlignment="1" pivotButton="0" quotePrefix="0" xfId="0">
      <alignment horizontal="general" vertical="bottom"/>
    </xf>
    <xf numFmtId="0" fontId="9"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0" fillId="0" borderId="4" pivotButton="0" quotePrefix="0" xfId="0"/>
    <xf numFmtId="0" fontId="0" fillId="0" borderId="5" pivotButton="0" quotePrefix="0" xfId="0"/>
    <xf numFmtId="4" fontId="11" fillId="0" borderId="1" applyAlignment="1" pivotButton="0" quotePrefix="0" xfId="0">
      <alignment horizontal="general" vertical="top" wrapText="1"/>
    </xf>
    <xf numFmtId="4" fontId="16" fillId="4" borderId="1" applyAlignment="1" pivotButton="0" quotePrefix="0" xfId="0">
      <alignment horizontal="general" vertical="top" wrapText="1"/>
    </xf>
    <xf numFmtId="4" fontId="13" fillId="2" borderId="1" applyAlignment="1" pivotButton="0" quotePrefix="0" xfId="0">
      <alignment horizontal="general" vertical="top" wrapText="1"/>
    </xf>
    <xf numFmtId="4" fontId="13" fillId="0" borderId="1" applyAlignment="1" pivotButton="0" quotePrefix="0" xfId="0">
      <alignment horizontal="general" vertical="top" wrapText="1"/>
    </xf>
    <xf numFmtId="4" fontId="17" fillId="4" borderId="1" applyAlignment="1" pivotButton="0" quotePrefix="0" xfId="0">
      <alignment horizontal="general" vertical="bottom"/>
    </xf>
    <xf numFmtId="0" fontId="17" fillId="4" borderId="1" applyAlignment="1" pivotButton="0" quotePrefix="0" xfId="0">
      <alignment horizontal="general" vertical="bottom"/>
    </xf>
    <xf numFmtId="0" fontId="8" fillId="0" borderId="1" applyAlignment="1" pivotButton="0" quotePrefix="0" xfId="0">
      <alignment horizontal="left" vertical="center" wrapText="1"/>
    </xf>
    <xf numFmtId="0" fontId="18" fillId="4" borderId="1" applyAlignment="1" pivotButton="0" quotePrefix="0" xfId="0">
      <alignment horizontal="center" vertical="center" wrapText="1"/>
    </xf>
    <xf numFmtId="0" fontId="19" fillId="0" borderId="1" applyAlignment="1" pivotButton="0" quotePrefix="0" xfId="0">
      <alignment horizontal="left" vertical="center" wrapText="1"/>
    </xf>
    <xf numFmtId="0" fontId="9" fillId="6"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A6A2E"/>
      <rgbColor rgb="FF800080"/>
      <rgbColor rgb="FF008080"/>
      <rgbColor rgb="FFB9C4D6"/>
      <rgbColor rgb="FF808080"/>
      <rgbColor rgb="FF9999FF"/>
      <rgbColor rgb="FF993366"/>
      <rgbColor rgb="FFFFF6D6"/>
      <rgbColor rgb="FFF2F5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BEAEA"/>
      <rgbColor rgb="FFCCFFCC"/>
      <rgbColor rgb="FFFDF4E2"/>
      <rgbColor rgb="FF99CCFF"/>
      <rgbColor rgb="FFFF99CC"/>
      <rgbColor rgb="FFCC99FF"/>
      <rgbColor rgb="FFFFCC99"/>
      <rgbColor rgb="FF3366FF"/>
      <rgbColor rgb="FF33CCCC"/>
      <rgbColor rgb="FF99CC00"/>
      <rgbColor rgb="FFFFCC00"/>
      <rgbColor rgb="FFFF9900"/>
      <rgbColor rgb="FFFF6600"/>
      <rgbColor rgb="FF5A6A80"/>
      <rgbColor rgb="FF969696"/>
      <rgbColor rgb="FF1F3A6E"/>
      <rgbColor rgb="FF339966"/>
      <rgbColor rgb="FF003300"/>
      <rgbColor rgb="FF333300"/>
      <rgbColor rgb="FF7A5C00"/>
      <rgbColor rgb="FF993366"/>
      <rgbColor rgb="FF333399"/>
      <rgbColor rgb="FF1C243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Unknown Author</author>
  </authors>
  <commentList>
    <comment ref="E4" authorId="0" shapeId="0">
      <text>
        <t>El conjunto de los requisitos «Must» debe coincidir exactamente con el producto mínimo viable descrito en el apartado V.5.</t>
      </text>
    </comment>
    <comment ref="G4" authorId="0" shapeId="0">
      <text>
        <t>Condición inicial, acción y resultado observable con valores. Un adjetivo no es un criterio de aceptación.</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F1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30" min="1" max="1"/>
    <col width="96" customWidth="1" style="30" min="2" max="2"/>
  </cols>
  <sheetData>
    <row r="1" ht="19.5" customHeight="1" s="31">
      <c r="A1" s="32" t="inlineStr">
        <is>
          <t>Libro de trabajo de la AE2 · Proyecto Final de Grado 2026</t>
        </is>
      </c>
    </row>
    <row r="2" ht="25.5" customHeight="1" s="31">
      <c r="A2" s="33" t="inlineStr">
        <is>
          <t>Universidad de la Cuenca del Plata · Ingeniería en Sistemas de Información · Comisión A · Sede Posadas · Docente Titular: PosDr. Darío Ezequiel Díaz · ISI-PFG-2026C2-AE2-v02</t>
        </is>
      </c>
    </row>
    <row r="4" ht="57.75" customHeight="1" s="31">
      <c r="A4" s="34" t="inlineStr">
        <is>
          <t>Para qué sirve este libro</t>
        </is>
      </c>
      <c r="B4" s="35" t="inlineStr">
        <is>
          <t>Reúne, en un solo archivo versionable, los instrumentos de la Unidad Dos que producen el Capítulo III y alimentan los Capítulos V y X: el catálogo de requisitos, la matriz de trazabilidad, el filtro de entidades, el registro de reglas, el glosario, el plan de iteraciones y el dimensionamiento de recursos. La hoja «Panel» controla sola el estado de completitud y avisa qué falta.</t>
        </is>
      </c>
    </row>
    <row r="5" ht="57.75" customHeight="1" s="31">
      <c r="A5" s="36" t="inlineStr">
        <is>
          <t>Dónde se guarda</t>
        </is>
      </c>
      <c r="B5" s="37" t="inlineStr">
        <is>
          <t>En el repositorio del equipo, carpeta /03-requisitos, con la nomenclatura de la cátedra: AAAAMMDD_CatalogoRequisitos_Equipo_vN.xlsx. Se versiona cada vez que se cierra un bloque de filas, no una sola vez antes de la entrega.</t>
        </is>
      </c>
    </row>
    <row r="6" ht="57.75" customHeight="1" s="31">
      <c r="A6" s="34" t="inlineStr">
        <is>
          <t>Qué celdas se completan</t>
        </is>
      </c>
      <c r="B6" s="35" t="inlineStr">
        <is>
          <t>Todas las celdas blancas y grises de cada hoja, a partir de la fila 5. Las filas sombreadas en ocre son ejemplos resueltos sobre el caso conductor «Santa Ana»: se leen, no se copian, y se borran antes de entregar. Las columnas de control, sombreadas en amarillo, contienen fórmulas: no se escriben.</t>
        </is>
      </c>
    </row>
    <row r="7" ht="57.75" customHeight="1" s="31">
      <c r="A7" s="36" t="inlineStr">
        <is>
          <t>Cómo se usan las listas desplegables</t>
        </is>
      </c>
      <c r="B7" s="37" t="inlineStr">
        <is>
          <t>Las columnas de tipo, prioridad y estado admiten sólo los valores de la lista. Si un valor es rechazado, es porque la categoría no corresponde a la clasificación de la cátedra.</t>
        </is>
      </c>
    </row>
    <row r="8" ht="57.75" customHeight="1" s="31">
      <c r="A8" s="34" t="inlineStr">
        <is>
          <t>Qué mira la corrección</t>
        </is>
      </c>
      <c r="B8" s="35" t="inlineStr">
        <is>
          <t>Que cada requisito tenga sus seis campos, que su criterio de aceptación sea un procedimiento ejecutable por un tercero, que la trazabilidad cierre en doble vía y que el conjunto de los requisitos «Must» coincida con el producto mínimo viable del apartado V.5.</t>
        </is>
      </c>
    </row>
    <row r="9" ht="57.75" customHeight="1" s="31">
      <c r="A9" s="36" t="inlineStr">
        <is>
          <t>Orden de trabajo sugerido</t>
        </is>
      </c>
      <c r="B9" s="37" t="inlineStr">
        <is>
          <t>1) Entidades y Reglas, en el taller. 2) Trazabilidad, con los hallazgos de la AE1 codificados H-01, H-02… 3) Catálogo, derivando requisitos de esos hallazgos. 4) Sesión de validación con el referente y actualización de los estados. 5) Iteraciones y Recursos, ya con el catálogo cerrado.</t>
        </is>
      </c>
    </row>
    <row r="10" ht="57.75" customHeight="1" s="31">
      <c r="A10" s="34" t="inlineStr">
        <is>
          <t>Advertencia</t>
        </is>
      </c>
      <c r="B10" s="35" t="inlineStr">
        <is>
          <t>Ante divergencia entre este libro y la Consigna ISI-PFG-2026C2-AE2-v02, prevalece la consigna. Ante divergencia entre la consigna y la Resolución Rectoral UCP N.º 97/23, prevalece la Resolución.</t>
        </is>
      </c>
    </row>
    <row r="12" ht="15" customHeight="1" s="31">
      <c r="A12" s="38" t="inlineStr">
        <is>
          <t>Leyenda de colores</t>
        </is>
      </c>
    </row>
    <row r="13" ht="15" customHeight="1" s="31">
      <c r="A13" s="39" t="inlineStr">
        <is>
          <t>Ocre</t>
        </is>
      </c>
      <c r="B13" s="40" t="inlineStr">
        <is>
          <t>Fila de ejemplo resuelta sobre el caso «Santa Ana». Se borra antes de entregar.</t>
        </is>
      </c>
    </row>
    <row r="14" ht="15" customHeight="1" s="31">
      <c r="A14" s="41" t="inlineStr">
        <is>
          <t>Amarillo</t>
        </is>
      </c>
      <c r="B14" s="40" t="inlineStr">
        <is>
          <t>Celda con fórmula de control. No se escribe.</t>
        </is>
      </c>
    </row>
    <row r="15" ht="15" customHeight="1" s="31">
      <c r="A15" s="42" t="inlineStr">
        <is>
          <t>Blanco y gris</t>
        </is>
      </c>
      <c r="B15" s="40" t="inlineStr">
        <is>
          <t>Celdas que completa el equipo.</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20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0" min="1" max="1"/>
    <col width="40" customWidth="1" style="30" min="2" max="2"/>
    <col width="13" customWidth="1" style="30" min="3" max="3"/>
    <col width="18" customWidth="1" style="30" min="4" max="4"/>
    <col width="11" customWidth="1" style="30" min="5" max="5"/>
    <col width="26" customWidth="1" style="30" min="6" max="6"/>
    <col width="46" customWidth="1" style="30" min="7" max="7"/>
    <col width="20" customWidth="1" style="30" min="8" max="8"/>
    <col width="15" customWidth="1" style="30" min="9" max="9"/>
    <col width="12" customWidth="1" style="30" min="10" max="11"/>
    <col width="20" customWidth="1" style="30" min="12" max="12"/>
  </cols>
  <sheetData>
    <row r="1" ht="19.5" customHeight="1" s="31">
      <c r="A1" s="32" t="inlineStr">
        <is>
          <t>Catálogo de requisitos · apartado III.5 del informe</t>
        </is>
      </c>
    </row>
    <row r="2" ht="25.5" customHeight="1" s="31">
      <c r="A2" s="33" t="inlineStr">
        <is>
          <t>Una fila por requisito, con los seis campos completos. Regla de cómputo: un requisito sin criterio de aceptación comprobable no se computa, por bien redactado que esté. Antes de cerrar una fila, aplique la prueba del compañero: otro integrante debe poder decir, en diez segundos, cómo verificaría el requisito.</t>
        </is>
      </c>
    </row>
    <row r="4" ht="30" customHeight="1" s="31">
      <c r="A4" s="43" t="inlineStr">
        <is>
          <t>ID</t>
        </is>
      </c>
      <c r="B4" s="43" t="inlineStr">
        <is>
          <t>Enunciado</t>
        </is>
      </c>
      <c r="C4" s="43" t="inlineStr">
        <is>
          <t>Tipo</t>
        </is>
      </c>
      <c r="D4" s="43" t="inlineStr">
        <is>
          <t>Categoría (si es no funcional)</t>
        </is>
      </c>
      <c r="E4" s="43" t="inlineStr">
        <is>
          <t>Prioridad</t>
        </is>
      </c>
      <c r="F4" s="43" t="inlineStr">
        <is>
          <t>Motivo de la prioridad</t>
        </is>
      </c>
      <c r="G4" s="43" t="inlineStr">
        <is>
          <t>Criterio de aceptación (condición, acción, resultado con valores)</t>
        </is>
      </c>
      <c r="H4" s="43" t="inlineStr">
        <is>
          <t>Trazabilidad (H-xx o acta)</t>
        </is>
      </c>
      <c r="I4" s="43" t="inlineStr">
        <is>
          <t>Estado de validación</t>
        </is>
      </c>
      <c r="J4" s="43" t="inlineStr">
        <is>
          <t>Iteración prevista</t>
        </is>
      </c>
      <c r="K4" s="43" t="inlineStr">
        <is>
          <t>¿Integra el MVP?</t>
        </is>
      </c>
      <c r="L4" s="43" t="inlineStr">
        <is>
          <t>Control de completitud</t>
        </is>
      </c>
    </row>
    <row r="5" ht="73.5" customHeight="1" s="31">
      <c r="A5" s="44" t="inlineStr">
        <is>
          <t>RF-01</t>
        </is>
      </c>
      <c r="B5" s="44" t="inlineStr">
        <is>
          <t>Dado un agente, RIGE informa el valor efectivo de cada una de sus claves o de la clave solicitada, la declaración que lo determina con su entrada, archivo y posición, y las declaraciones desplazadas</t>
        </is>
      </c>
      <c r="C5" s="44" t="inlineStr">
        <is>
          <t>Funcional</t>
        </is>
      </c>
      <c r="D5" s="44" t="n"/>
      <c r="E5" s="44" t="inlineStr">
        <is>
          <t>Must</t>
        </is>
      </c>
      <c r="F5" s="44" t="inlineStr">
        <is>
          <t>Responde la manifestación observable del problema enunciada en el apartado I.3.1 del informe de la AE1, y de esta capacidad dependen las demás consultas</t>
        </is>
      </c>
      <c r="G5" s="44" t="inlineStr">
        <is>
          <t>CA-1: Dado un escenario del entorno controlado con una clave declarada en tres entradas de distinta precedencia, al consultar esa clave para un agente el sistema informa el valor de la entrada de mayor precedencia, identifica su archivo y su línea, y lista las dos restantes como desplazadas. El valor coincide con la salida del comando nativo de resolución por agente. CA-2: Consultado el mismo agente sin indicar clave, el sistema informa el valor efectivo de cada una de sus claves, cada uno con la misma procedencia y las mismas declaraciones desplazadas que en la consulta por clave</t>
        </is>
      </c>
      <c r="H5" s="44" t="inlineStr">
        <is>
          <t>H-01, H-02, H-06</t>
        </is>
      </c>
      <c r="I5" s="44" t="inlineStr">
        <is>
          <t>Validado</t>
        </is>
      </c>
      <c r="J5" s="44" t="n">
        <v>1</v>
      </c>
      <c r="K5" s="44" t="inlineStr">
        <is>
          <t>Sí</t>
        </is>
      </c>
      <c r="L5" s="45">
        <f>IF($A5="","",IF(COUNTBLANK($B5:$C5)+COUNTBLANK($E5:$H5)&gt;0,"Faltan campos",IF(AND($C5="No funcional",$D5=""),"Falta categoría",IF($K5="","Falta definir si integra el MVP","Fila completa"))))</f>
        <v/>
      </c>
    </row>
    <row r="6" ht="33.75" customHeight="1" s="31">
      <c r="A6" s="46" t="inlineStr">
        <is>
          <t>RF-02</t>
        </is>
      </c>
      <c r="B6" s="46" t="inlineStr">
        <is>
          <t>Dado un agente y una acción, RIGE informa la decisión de permiso, la cadena ordenada de reglas coincidentes, la regla determinante con su carácter nativo o declarado y su procedencia, y una explicación del motivo por el cual esa regla prevalece</t>
        </is>
      </c>
      <c r="C6" s="46" t="inlineStr">
        <is>
          <t>Funcional</t>
        </is>
      </c>
      <c r="D6" s="46" t="n"/>
      <c r="E6" s="46" t="inlineStr">
        <is>
          <t>Must</t>
        </is>
      </c>
      <c r="F6" s="46" t="inlineStr">
        <is>
          <t>Constituye la función diferencial del proyecto: ninguna solución relevada informa una decisión de permiso junto con la procedencia por declaración de la regla que la determina</t>
        </is>
      </c>
      <c r="G6" s="46" t="inlineStr">
        <is>
          <t>CA-1: Dado un escenario en el que una regla nativa deniega una acción y una declaración global del usuario la permite, el sistema informa la decisión «permitida», presenta ambas reglas en orden de evaluación, señala como determinante la declarada y la identifica como tal. CA-2: La decisión coincide con la del evaluador vigente de OpenCode 1.18.25. CA-3: Consultado un subagente, la cadena incluye las denegaciones heredadas del agente que lo invoca. CA-4: La explicación nombra la regla determinante, su posición en la cadena y el motivo de su prevalencia, y resulta idéntica ante entradas idénticas. CA-5: Toda decisión se acompaña de la declaración de que las aprobaciones permanentes no integran el análisis. CA-6: Sobre los mismos casos, la decisión, la cadena y la regla determinante coinciden por la línea de comandos y por la interfaz web local. CA-7: Con la opción --explicar, la línea de comandos entrega la misma explicación que la interfaz web para la misma decisión. CA-8: Dado un escenario en el que la regla determinante es una declaración, el sistema informa la entrada, el archivo y la línea de esa declaración, que coinciden con su ubicación en el escenario; si la regla determinante es nativa, la identifica como nativa, sin archivo</t>
        </is>
      </c>
      <c r="H6" s="46" t="inlineStr">
        <is>
          <t>H-05, H-07, H-11, H-12, HA-5; acta del 26/09/2026, decisiones L-10 y L-13; acta del 26/09/2026, decisión L-06</t>
        </is>
      </c>
      <c r="I6" s="46" t="inlineStr">
        <is>
          <t>Validado</t>
        </is>
      </c>
      <c r="J6" s="46" t="n">
        <v>2</v>
      </c>
      <c r="K6" s="46" t="inlineStr">
        <is>
          <t>Sí</t>
        </is>
      </c>
      <c r="L6" s="45">
        <f>IF($A6="","",IF(COUNTBLANK($B6:$C6)+COUNTBLANK($E6:$H6)&gt;0,"Faltan campos",IF(AND($C6="No funcional",$D6=""),"Falta categoría",IF($K6="","Falta definir si integra el MVP","Fila completa"))))</f>
        <v/>
      </c>
    </row>
    <row r="7" ht="33.75" customHeight="1" s="31">
      <c r="A7" s="47" t="inlineStr">
        <is>
          <t>RF-03</t>
        </is>
      </c>
      <c r="B7" s="47" t="inlineStr">
        <is>
          <t>RIGE expone por línea de comandos, dado un proyecto y un agente, los valores efectivos con su procedencia, archivo y posición y, dada una acción, la decisión de permiso con su regla determinante. La salida es estructurada, determinista y se ajusta a un esquema publicado que declara su versión; a pedido, incluye la explicación</t>
        </is>
      </c>
      <c r="C7" s="47" t="inlineStr">
        <is>
          <t>Funcional</t>
        </is>
      </c>
      <c r="D7" s="47" t="n"/>
      <c r="E7" s="47" t="inlineStr">
        <is>
          <t>Must</t>
        </is>
      </c>
      <c r="F7" s="47" t="inlineStr">
        <is>
          <t>Atiende una práctica existente y no una necesidad hipotética: según declara la referente, el equipo relevado interroga su configuración por vía programática, con consumo de tokens y sin garantía de exactitud. Es, además, la vía por la que un agente consulta RIGE</t>
        </is>
      </c>
      <c r="G7" s="47" t="inlineStr">
        <is>
          <t>CA-1: Ejecutada dos veces consecutivas, con la opción --explicar y sin ella, sobre el mismo proyecto sin cambios en las entradas, cada consulta (de valores para un agente y de decisión de permiso para un agente y una acción) produce una salida idéntica. CA-2: Cada salida valida contra el esquema publicado en el repositorio y declara la versión del esquema. CA-3: Cada valor incluye ruta absoluta y línea, y cada decisión, la regla determinante con su procedencia. CA-4: Sobre los mismos escenarios, los valores y las decisiones que informa coinciden en su totalidad con los que presenta la interfaz web local, conforme exigen los indicadores de los objetivos OE-1 y OE-2 del informe de la AE1. CA-6: El código de salida distingue el resultado del error: 0 cuando la consulta se resuelve, aun sin resultado (agente sin la clave consultada, acción compuesta), con el motivo en la salida; 1 ante un error de uso o de configuración (proyecto inexistente, `configuracion-invalida`); 70 ante un error interno. Los errores se emiten por el canal de error y no por el de salida</t>
        </is>
      </c>
      <c r="H7" s="47" t="inlineStr">
        <is>
          <t>HA-3; acta del 26/09/2026, decisiones L-06 y L-10; acta del 26/09/2026, E-01; (Anexo III, D-58, CA-6)</t>
        </is>
      </c>
      <c r="I7" s="47" t="inlineStr">
        <is>
          <t>Validado</t>
        </is>
      </c>
      <c r="J7" s="47" t="n">
        <v>2</v>
      </c>
      <c r="K7" s="47" t="inlineStr">
        <is>
          <t>Sí</t>
        </is>
      </c>
      <c r="L7" s="45">
        <f>IF($A7="","",IF(COUNTBLANK($B7:$C7)+COUNTBLANK($E7:$H7)&gt;0,"Faltan campos",IF(AND($C7="No funcional",$D7=""),"Falta categoría",IF($K7="","Falta definir si integra el MVP","Fila completa"))))</f>
        <v/>
      </c>
    </row>
    <row r="8" ht="33.75" customHeight="1" s="31">
      <c r="A8" s="46" t="inlineStr">
        <is>
          <t>RF-04</t>
        </is>
      </c>
      <c r="B8" s="46" t="inlineStr">
        <is>
          <t>RIGE localiza las entradas de configuración aplicables al proyecto, con su tipo, su orden de precedencia y su estado de legibilidad</t>
        </is>
      </c>
      <c r="C8" s="46" t="inlineStr">
        <is>
          <t>Funcional</t>
        </is>
      </c>
      <c r="D8" s="46" t="n"/>
      <c r="E8" s="46" t="inlineStr">
        <is>
          <t>Must</t>
        </is>
      </c>
      <c r="F8" s="46" t="inlineStr">
        <is>
          <t>Ninguna resolución resulta posible sin el conjunto completo de entradas</t>
        </is>
      </c>
      <c r="G8" s="46" t="inlineStr">
        <is>
          <t>CA-1: Dado un escenario con entradas de los siete tipos (archivos globales, archivo indicado por `OPENCODE_CONFIG`, archivos del proyecto, archivos JSON de los directorios `.opencode` y de `OPENCODE_CONFIG_DIR`, Markdown de agentes, comandos y modos de esos directorios, `OPENCODE_CONFIG_CONTENT` y `OPENCODE_PERMISSION`), el sistema las lista todas, informa su orden de precedencia y distingue las que no son archivos. CA-2: En el mismo escenario, identifica como ilegible la entrada con error de sintaxis sembrada, sin marcar ninguna otra</t>
        </is>
      </c>
      <c r="H8" s="46" t="inlineStr">
        <is>
          <t>H-01, H-04, H-22; (Anexo III, D-58, enumeración de los tipos)</t>
        </is>
      </c>
      <c r="I8" s="46" t="inlineStr">
        <is>
          <t>Validado</t>
        </is>
      </c>
      <c r="J8" s="46" t="n">
        <v>3</v>
      </c>
      <c r="K8" s="46" t="inlineStr">
        <is>
          <t>Sí</t>
        </is>
      </c>
      <c r="L8" s="45">
        <f>IF($A8="","",IF(COUNTBLANK($B8:$C8)+COUNTBLANK($E8:$H8)&gt;0,"Faltan campos",IF(AND($C8="No funcional",$D8=""),"Falta categoría",IF($K8="","Falta definir si integra el MVP","Fila completa"))))</f>
        <v/>
      </c>
    </row>
    <row r="9" ht="33.75" customHeight="1" s="31">
      <c r="A9" s="47" t="inlineStr">
        <is>
          <t>RF-05</t>
        </is>
      </c>
      <c r="B9" s="47" t="inlineStr">
        <is>
          <t>RIGE advierte cuando la versión de OpenCode instalada difiere de la 1.18.25 y no presenta sus resultados como válidos</t>
        </is>
      </c>
      <c r="C9" s="47" t="inlineStr">
        <is>
          <t>Funcional</t>
        </is>
      </c>
      <c r="D9" s="47" t="n"/>
      <c r="E9" s="47" t="inlineStr">
        <is>
          <t>Must</t>
        </is>
      </c>
      <c r="F9" s="47" t="inlineStr">
        <is>
          <t>Las reglas de precedencia y de fusión se modifican entre versiones</t>
        </is>
      </c>
      <c r="G9" s="47" t="inlineStr">
        <is>
          <t>CA-1: Con una versión distinta instalada, el sistema muestra la advertencia con la versión esperada y la detectada y no presenta resultado alguno. CA-2: Por línea de comandos, la salida estándar queda vacía, la advertencia se emite por el canal de error y el código de salida es 1 (error de uso o de configuración, RF-03, CA-6)</t>
        </is>
      </c>
      <c r="H9" s="47" t="inlineStr">
        <is>
          <t>HA-1; amenaza A2 de la Tabla 17 del informe de la AE1; acta del 26/09/2026, E-01 y decisión L-05</t>
        </is>
      </c>
      <c r="I9" s="47" t="inlineStr">
        <is>
          <t>Validado</t>
        </is>
      </c>
      <c r="J9" s="47" t="n">
        <v>3</v>
      </c>
      <c r="K9" s="47" t="inlineStr">
        <is>
          <t>Sí</t>
        </is>
      </c>
      <c r="L9" s="45">
        <f>IF($A9="","",IF(COUNTBLANK($B9:$C9)+COUNTBLANK($E9:$H9)&gt;0,"Faltan campos",IF(AND($C9="No funcional",$D9=""),"Falta categoría",IF($K9="","Falta definir si integra el MVP","Fila completa"))))</f>
        <v/>
      </c>
    </row>
    <row r="10" ht="33.75" customHeight="1" s="31">
      <c r="A10" s="46" t="inlineStr">
        <is>
          <t>RF-06</t>
        </is>
      </c>
      <c r="B10" s="46" t="inlineStr">
        <is>
          <t>RIGE distingue los valores que ninguna entrada declara y las reglas de permiso que la herramienta incorpora, identificándolos como implícitos o nativos</t>
        </is>
      </c>
      <c r="C10" s="46" t="inlineStr">
        <is>
          <t>Funcional</t>
        </is>
      </c>
      <c r="D10" s="46" t="n"/>
      <c r="E10" s="46" t="inlineStr">
        <is>
          <t>Must</t>
        </is>
      </c>
      <c r="F10" s="46" t="inlineStr">
        <is>
          <t>Constituye una de las dos carencias centrales de los comandos nativos de introspección, que los presentan sin distinguirlos</t>
        </is>
      </c>
      <c r="G10" s="46" t="inlineStr">
        <is>
          <t>CA-1: Dado un agente sin declaración del usuario para una clave, el sistema informa el valor y lo identifica como implícito, sin atribuirlo a ninguna entrada. CA-2: En su cadena de reglas de permiso cada regla aparece identificada como nativa o declarada, y la identificación coincide con el origen verificado en el relevamiento</t>
        </is>
      </c>
      <c r="H10" s="46" t="inlineStr">
        <is>
          <t>H-07, H-09, HA-5</t>
        </is>
      </c>
      <c r="I10" s="46" t="inlineStr">
        <is>
          <t>Validado</t>
        </is>
      </c>
      <c r="J10" s="46" t="n">
        <v>2</v>
      </c>
      <c r="K10" s="46" t="inlineStr">
        <is>
          <t>Sí</t>
        </is>
      </c>
      <c r="L10" s="45">
        <f>IF($A10="","",IF(COUNTBLANK($B10:$C10)+COUNTBLANK($E10:$H10)&gt;0,"Faltan campos",IF(AND($C10="No funcional",$D10=""),"Falta categoría",IF($K10="","Falta definir si integra el MVP","Fila completa"))))</f>
        <v/>
      </c>
    </row>
    <row r="11" ht="33.75" customHeight="1" s="31">
      <c r="A11" s="47" t="inlineStr">
        <is>
          <t>RF-07</t>
        </is>
      </c>
      <c r="B11" s="47" t="inlineStr">
        <is>
          <t>RIGE detecta referencias no resueltas, reglas de permiso sin efecto, elementos sin uso, sustituciones sin valor, entradas ilegibles y entradas descartadas sin error visible, con la localización de la declaración que los origina y una explicación de su causa, por ambas interfaces</t>
        </is>
      </c>
      <c r="C11" s="47" t="inlineStr">
        <is>
          <t>Funcional</t>
        </is>
      </c>
      <c r="D11" s="47" t="n"/>
      <c r="E11" s="47" t="inlineStr">
        <is>
          <t>Must</t>
        </is>
      </c>
      <c r="F11" s="47" t="inlineStr">
        <is>
          <t>Constituye la verificación que ninguna de las soluciones relevadas ofrece. Los seis tipos comparten estructura, localización y tratamiento, de modo que se especifican como una sola capacidad</t>
        </is>
      </c>
      <c r="G11" s="47" t="inlineStr">
        <is>
          <t>CA-1: Sobre un entorno con defectos sembrados de cada uno de los seis tipos (incluida la variable `OPENCODE_PERMISSION` con contenido inválido, que la herramienta descarta con un aviso que solo registra en su archivo de log), el sistema detecta la totalidad de los defectos y produce cero falsos positivos sobre el resto del entorno, cuya corrección se encuentra verificada. La detección de referencias no resueltas y de elementos sin uso opera por nombre sobre los elementos de la resolución, sin la representación de vínculos de RF-13. CA-2: Cada hallazgo informa la entrada y su localización: archivo y línea cuando la entrada es un archivo, o nombre de la variable cuando la entrada es una variable de entorno, y una explicación que nombra su causa y resulta idéntica ante entradas idénticas. CA-3: La línea de comandos y la interfaz web local informan los mismos hallazgos sobre el mismo entorno. CA-4: Con la opción --explicar, la línea de comandos entrega la misma explicación que la interfaz web para el mismo hallazgo</t>
        </is>
      </c>
      <c r="H11" s="47" t="inlineStr">
        <is>
          <t>H-03, H-05, H-13, H-14; acta del 26/09/2026, decisiones L-10 y L-13; Anexo III, D-61; acta del 26/09/2026, decisión L-06</t>
        </is>
      </c>
      <c r="I11" s="47" t="inlineStr">
        <is>
          <t>Validado</t>
        </is>
      </c>
      <c r="J11" s="47" t="n">
        <v>3</v>
      </c>
      <c r="K11" s="47" t="inlineStr">
        <is>
          <t>Sí</t>
        </is>
      </c>
      <c r="L11" s="45">
        <f>IF($A11="","",IF(COUNTBLANK($B11:$C11)+COUNTBLANK($E11:$H11)&gt;0,"Faltan campos",IF(AND($C11="No funcional",$D11=""),"Falta categoría",IF($K11="","Falta definir si integra el MVP","Fila completa"))))</f>
        <v/>
      </c>
    </row>
    <row r="12" ht="33.75" customHeight="1" s="31">
      <c r="A12" s="46" t="inlineStr">
        <is>
          <t>RF-08</t>
        </is>
      </c>
      <c r="B12" s="46" t="inlineStr">
        <is>
          <t>Ante un comando de terminal compuesto, RIGE emite una advertencia en lugar de informar una decisión de permiso</t>
        </is>
      </c>
      <c r="C12" s="46" t="inlineStr">
        <is>
          <t>Funcional</t>
        </is>
      </c>
      <c r="D12" s="46" t="n"/>
      <c r="E12" s="46" t="inlineStr">
        <is>
          <t>Must</t>
        </is>
      </c>
      <c r="F12" s="46" t="inlineStr">
        <is>
          <t>Sostiene la frontera declarada en el apartado III.4 y mitiga el riesgo principal del proyecto</t>
        </is>
      </c>
      <c r="G12" s="46" t="inlineStr">
        <is>
          <t>CA-1: Consultada una acción que contiene tubería, encadenamiento, redirección, subshell o sustitución de comando, el sistema no informa decisión y emite la advertencia que identifica el motivo. CA-2: Sobre comandos simples equivalentes informa la decisión con normalidad. CA-3: Por línea de comandos, ante una acción compuesta la respuesta declara la ausencia de decisión con su motivo y el código de salida es 0</t>
        </is>
      </c>
      <c r="H12" s="46" t="inlineStr">
        <is>
          <t>H-15; acta del 26/09/2026, decisión L-02; acta del 26/09/2026, E-01</t>
        </is>
      </c>
      <c r="I12" s="46" t="inlineStr">
        <is>
          <t>Validado</t>
        </is>
      </c>
      <c r="J12" s="46" t="n">
        <v>2</v>
      </c>
      <c r="K12" s="46" t="inlineStr">
        <is>
          <t>Sí</t>
        </is>
      </c>
      <c r="L12" s="45">
        <f>IF($A12="","",IF(COUNTBLANK($B12:$C12)+COUNTBLANK($E12:$H12)&gt;0,"Faltan campos",IF(AND($C12="No funcional",$D12=""),"Falta categoría",IF($K12="","Falta definir si integra el MVP","Fila completa"))))</f>
        <v/>
      </c>
    </row>
    <row r="13" ht="33.75" customHeight="1" s="31">
      <c r="A13" s="47" t="inlineStr">
        <is>
          <t>RF-09</t>
        </is>
      </c>
      <c r="B13" s="47" t="inlineStr">
        <is>
          <t>RIGE advierte cuando una declaración del usuario desactiva una regla nativa de protección del agente</t>
        </is>
      </c>
      <c r="C13" s="47" t="inlineStr">
        <is>
          <t>Funcional</t>
        </is>
      </c>
      <c r="D13" s="47" t="n"/>
      <c r="E13" s="47" t="inlineStr">
        <is>
          <t>Must</t>
        </is>
      </c>
      <c r="F13" s="47" t="inlineStr">
        <is>
          <t>Corresponde al efecto de seguridad más grave acreditado en el apartado I.1.3 del informe de la AE1: una sola línea de permiso amplio anula, sin advertencia alguna de la herramienta, la restricción que define el comportamiento de un agente</t>
        </is>
      </c>
      <c r="G13" s="47" t="inlineStr">
        <is>
          <t>CA-1: Dado un agente cuyas reglas nativas deniegan la edición y una declaración global del usuario que la permite, el sistema informa la decisión resultante y, además, advierte que esa declaración desactiva una protección nativa, identificando la regla anulada y la declaración que la anula con su archivo y su línea. CA-2: Sobre un agente sin esa situación no se emite advertencia</t>
        </is>
      </c>
      <c r="H13" s="47" t="inlineStr">
        <is>
          <t>H-07; AE1, I.1.3</t>
        </is>
      </c>
      <c r="I13" s="47" t="inlineStr">
        <is>
          <t>Validado</t>
        </is>
      </c>
      <c r="J13" s="47" t="n">
        <v>2</v>
      </c>
      <c r="K13" s="47" t="inlineStr">
        <is>
          <t>Sí</t>
        </is>
      </c>
      <c r="L13" s="45">
        <f>IF($A13="","",IF(COUNTBLANK($B13:$C13)+COUNTBLANK($E13:$H13)&gt;0,"Faltan campos",IF(AND($C13="No funcional",$D13=""),"Falta categoría",IF($K13="","Falta definir si integra el MVP","Fila completa"))))</f>
        <v/>
      </c>
    </row>
    <row r="14" ht="33.75" customHeight="1" s="31">
      <c r="A14" s="46" t="inlineStr">
        <is>
          <t>RF-10</t>
        </is>
      </c>
      <c r="B14" s="46" t="inlineStr">
        <is>
          <t>RIGE informa, junto con la decisión de permiso, si la herramienta queda disponible para el modelo o si la configuración la retira por completo</t>
        </is>
      </c>
      <c r="C14" s="46" t="inlineStr">
        <is>
          <t>Funcional</t>
        </is>
      </c>
      <c r="D14" s="46" t="n"/>
      <c r="E14" s="46" t="inlineStr">
        <is>
          <t>Should</t>
        </is>
      </c>
      <c r="F14" s="46" t="inlineStr">
        <is>
          <t>La decisión por sí sola no describe el efecto: una denegación general retira la herramienta y una excepción posterior vuelve a exponerla íntegra. Se prioriza como Should porque extiende la consulta de permiso sin intervenir en la medición final ni en la mitigación del riesgo principal</t>
        </is>
      </c>
      <c r="G14" s="46" t="inlineStr">
        <is>
          <t>CA-1: Dado un agente con una denegación de patrón general sobre una herramienta, el sistema informa que la herramienta no se ofrece al modelo. CA-2: Agregada una excepción posterior sobre el mismo tipo, informa que vuelve a estar disponible. CA-3: Ambos resultados coinciden con la lista de herramientas que el código de OpenCode 1.18.25 ofrece al modelo para ese agente tras aplicar sus permisos, obtenida sin ejecutar un modelo</t>
        </is>
      </c>
      <c r="H14" s="46" t="inlineStr">
        <is>
          <t>H-08; (Anexo III, D-58, CA-3)</t>
        </is>
      </c>
      <c r="I14" s="46" t="inlineStr">
        <is>
          <t>Validado</t>
        </is>
      </c>
      <c r="J14" s="46" t="inlineStr">
        <is>
          <t>3 (condicionado a las horas)</t>
        </is>
      </c>
      <c r="K14" s="46" t="inlineStr">
        <is>
          <t>No</t>
        </is>
      </c>
      <c r="L14" s="45">
        <f>IF($A14="","",IF(COUNTBLANK($B14:$C14)+COUNTBLANK($E14:$H14)&gt;0,"Faltan campos",IF(AND($C14="No funcional",$D14=""),"Falta categoría",IF($K14="","Falta definir si integra el MVP","Fila completa"))))</f>
        <v/>
      </c>
    </row>
    <row r="15" ht="33.75" customHeight="1" s="31">
      <c r="A15" s="47" t="inlineStr">
        <is>
          <t>RF-11</t>
        </is>
      </c>
      <c r="B15" s="47" t="inlineStr">
        <is>
          <t>RIGE presenta un resumen del ecosistema con la cantidad de elementos por tipo y la cantidad de hallazgos por tipo</t>
        </is>
      </c>
      <c r="C15" s="47" t="inlineStr">
        <is>
          <t>Funcional</t>
        </is>
      </c>
      <c r="D15" s="47" t="n"/>
      <c r="E15" s="47" t="inlineStr">
        <is>
          <t>Should</t>
        </is>
      </c>
      <c r="F15" s="47" t="inlineStr">
        <is>
          <t>Constituye el punto de entrada de la exploración para quien se incorpora a un proyecto ajeno, pero ninguna consulta depende de él: los datos que resume ya se obtienen por RF-04 y RF-07</t>
        </is>
      </c>
      <c r="G15" s="47" t="inlineStr">
        <is>
          <t>CA-1: Resuelto un proyecto del entorno controlado, el sistema informa la cantidad de elementos de cada tipo y la cantidad de hallazgos de cada tipo, y ambas cifras coinciden con las que arrojan el descubrimiento y la verificación sobre el mismo proyecto</t>
        </is>
      </c>
      <c r="H15" s="47" t="inlineStr">
        <is>
          <t>AE1, I.6.2, función F5</t>
        </is>
      </c>
      <c r="I15" s="47" t="inlineStr">
        <is>
          <t>Validado</t>
        </is>
      </c>
      <c r="J15" s="47" t="inlineStr">
        <is>
          <t>3 (condicionado a las horas)</t>
        </is>
      </c>
      <c r="K15" s="47" t="inlineStr">
        <is>
          <t>No</t>
        </is>
      </c>
      <c r="L15" s="45">
        <f>IF($A15="","",IF(COUNTBLANK($B15:$C15)+COUNTBLANK($E15:$H15)&gt;0,"Faltan campos",IF(AND($C15="No funcional",$D15=""),"Falta categoría",IF($K15="","Falta definir si integra el MVP","Fila completa"))))</f>
        <v/>
      </c>
    </row>
    <row r="16" ht="33.75" customHeight="1" s="31">
      <c r="A16" s="46" t="inlineStr">
        <is>
          <t>RF-12</t>
        </is>
      </c>
      <c r="B16" s="46" t="inlineStr">
        <is>
          <t>RIGE informa la localización de cada declaración en el formato ruta:línea:columna, con ruta absoluta, por ambas interfaces</t>
        </is>
      </c>
      <c r="C16" s="46" t="inlineStr">
        <is>
          <t>Funcional</t>
        </is>
      </c>
      <c r="D16" s="46" t="n"/>
      <c r="E16" s="46" t="inlineStr">
        <is>
          <t>Should</t>
        </is>
      </c>
      <c r="F16" s="46" t="inlineStr">
        <is>
          <t>Permite abrir la declaración desde el editor o la terminal, que reconocen ese formato como enlace, sin integrarse con un editor externo. Se implementa en la serialización de la salida, sin horas propias, y no interviene en la medición final ni en la mitigación del riesgo principal</t>
        </is>
      </c>
      <c r="G16" s="46" t="inlineStr">
        <is>
          <t>CA-1: Sobre los escenarios del entorno controlado, cada localización de una declaración que informan la línea de comandos y la interfaz web local sigue el formato ruta:línea:columna, con ruta absoluta, y la línea y la columna corresponden a la declaración. CA-2: La misma declaración se informa con la misma localización por ambas interfaces</t>
        </is>
      </c>
      <c r="H16" s="46" t="inlineStr">
        <is>
          <t>H-06; AE1, I.6.2, función F6 (Tabla 7); acta de validación, extensión</t>
        </is>
      </c>
      <c r="I16" s="46" t="inlineStr">
        <is>
          <t>Validado</t>
        </is>
      </c>
      <c r="J16" s="46" t="inlineStr">
        <is>
          <t>2 (condicionado a las horas)</t>
        </is>
      </c>
      <c r="K16" s="46" t="inlineStr">
        <is>
          <t>No</t>
        </is>
      </c>
      <c r="L16" s="45">
        <f>IF($A16="","",IF(COUNTBLANK($B16:$C16)+COUNTBLANK($E16:$H16)&gt;0,"Faltan campos",IF(AND($C16="No funcional",$D16=""),"Falta categoría",IF($K16="","Falta definir si integra el MVP","Fila completa"))))</f>
        <v/>
      </c>
    </row>
    <row r="17" ht="33.75" customHeight="1" s="31">
      <c r="A17" s="47" t="inlineStr">
        <is>
          <t>RF-13</t>
        </is>
      </c>
      <c r="B17" s="47" t="inlineStr">
        <is>
          <t>RIGE representa los vínculos entre los elementos del ecosistema: el modelo que utiliza cada agente, el agente que invoca cada comando, las herramientas que aporta cada servidor MCP y las skills disponibles para cada agente</t>
        </is>
      </c>
      <c r="C17" s="47" t="inlineStr">
        <is>
          <t>Funcional</t>
        </is>
      </c>
      <c r="D17" s="47" t="n"/>
      <c r="E17" s="47" t="inlineStr">
        <is>
          <t>Could</t>
        </is>
      </c>
      <c r="F17" s="47" t="inlineStr">
        <is>
          <t>Corresponde a la función F3 del informe de la AE1 y pertenece al alcance del sistema, pero queda fuera del período comprometido conforme al apartado III.3: ninguna de las cuatro consultas que originan el problema depende de ella</t>
        </is>
      </c>
      <c r="G17" s="47" t="inlineStr">
        <is>
          <t>CA-1: Resuelto un proyecto del entorno controlado, el sistema informa para cada agente los elementos con los que se relaciona y el tipo de cada relación, y el conjunto coincide con las declaraciones verificadas del escenario</t>
        </is>
      </c>
      <c r="H17" s="47" t="inlineStr">
        <is>
          <t>AE1, I.6.2, función F3; acta del 26/09/2026, decisión L-12</t>
        </is>
      </c>
      <c r="I17" s="47" t="inlineStr">
        <is>
          <t>Validado</t>
        </is>
      </c>
      <c r="J17" s="47" t="n"/>
      <c r="K17" s="47" t="inlineStr">
        <is>
          <t>No</t>
        </is>
      </c>
      <c r="L17" s="45">
        <f>IF($A17="","",IF(COUNTBLANK($B17:$C17)+COUNTBLANK($E17:$H17)&gt;0,"Faltan campos",IF(AND($C17="No funcional",$D17=""),"Falta categoría",IF($K17="","Falta definir si integra el MVP","Fila completa"))))</f>
        <v/>
      </c>
    </row>
    <row r="18" ht="33.75" customHeight="1" s="31">
      <c r="A18" s="46" t="inlineStr">
        <is>
          <t>RF-14</t>
        </is>
      </c>
      <c r="B18" s="46" t="inlineStr">
        <is>
          <t>RIGE informa por línea de comandos el estado resuelto completo de un proyecto: sus elementos, los valores efectivos con su procedencia y los hallazgos</t>
        </is>
      </c>
      <c r="C18" s="46" t="inlineStr">
        <is>
          <t>Funcional</t>
        </is>
      </c>
      <c r="D18" s="46" t="n"/>
      <c r="E18" s="46" t="inlineStr">
        <is>
          <t>Could</t>
        </is>
      </c>
      <c r="F18" s="46" t="inlineStr">
        <is>
          <t>Corresponde a la función F6 del informe de la AE1. Reúne en una sola consulta lo que las demás informan por separado, y su salida redirigida a un archivo constituye la exportación; ninguna evidencia del relevamiento la exige de manera directa</t>
        </is>
      </c>
      <c r="G18" s="46" t="inlineStr">
        <is>
          <t>CA-1: Resuelto un proyecto del entorno controlado, la consulta del estado completo por línea de comandos informa sus elementos, los valores efectivos con su procedencia y los hallazgos, y valida contra el esquema publicado. CA-2: Su contenido coincide con el que informan las consultas de valores y de hallazgos sobre el mismo proyecto</t>
        </is>
      </c>
      <c r="H18" s="46" t="inlineStr">
        <is>
          <t>AE1, I.6.2, función F6; acta de validación, extensión; acta del 26/09/2026, decisión L-06</t>
        </is>
      </c>
      <c r="I18" s="46" t="inlineStr">
        <is>
          <t>Validado</t>
        </is>
      </c>
      <c r="J18" s="46" t="n"/>
      <c r="K18" s="46" t="inlineStr">
        <is>
          <t>No</t>
        </is>
      </c>
      <c r="L18" s="45">
        <f>IF($A18="","",IF(COUNTBLANK($B18:$C18)+COUNTBLANK($E18:$H18)&gt;0,"Faltan campos",IF(AND($C18="No funcional",$D18=""),"Falta categoría",IF($K18="","Falta definir si integra el MVP","Fila completa"))))</f>
        <v/>
      </c>
    </row>
    <row r="19" ht="33.75" customHeight="1" s="31">
      <c r="A19" s="47" t="inlineStr">
        <is>
          <t>RF-15</t>
        </is>
      </c>
      <c r="B19" s="47" t="inlineStr">
        <is>
          <t>RIGE presenta la matriz de agentes por tipo de permiso y responde la consulta inversa de los agentes que pueden realizar una acción determinada</t>
        </is>
      </c>
      <c r="C19" s="47" t="inlineStr">
        <is>
          <t>Funcional</t>
        </is>
      </c>
      <c r="D19" s="47" t="n"/>
      <c r="E19" s="47" t="inlineStr">
        <is>
          <t>Won't</t>
        </is>
      </c>
      <c r="F19" s="47" t="inlineStr">
        <is>
          <t>en este período. Corresponde a dos de los tres modos de evaluación de la función F4 del informe de la AE1. Se posterga de manera expresa porque exige resolver la cadena de reglas de permiso de todos los agentes y un diseño de presentación propio, sin que ninguna consulta relevada lo requiera; se reevalúa una vez ejecutada la medición final</t>
        </is>
      </c>
      <c r="G19" s="47" t="inlineStr">
        <is>
          <t>No se especifica criterio de aceptación para este período, dado que la capacidad no se compromete y no se computa en los controles del catálogo. Su especificación se incorpora al catálogo cuando la prioridad se reevalúe</t>
        </is>
      </c>
      <c r="H19" s="47" t="inlineStr">
        <is>
          <t>AE1, I.6.2, función F4</t>
        </is>
      </c>
      <c r="I19" s="47" t="inlineStr">
        <is>
          <t>Validado</t>
        </is>
      </c>
      <c r="J19" s="47" t="n"/>
      <c r="K19" s="47" t="inlineStr">
        <is>
          <t>No</t>
        </is>
      </c>
      <c r="L19" s="45">
        <f>IF($A19="","",IF(COUNTBLANK($B19:$C19)+COUNTBLANK($E19:$H19)&gt;0,"Faltan campos",IF(AND($C19="No funcional",$D19=""),"Falta categoría",IF($K19="","Falta definir si integra el MVP","Fila completa"))))</f>
        <v/>
      </c>
    </row>
    <row r="20" ht="33.75" customHeight="1" s="31">
      <c r="A20" s="46" t="inlineStr">
        <is>
          <t>RF-16</t>
        </is>
      </c>
      <c r="B20" s="46" t="inlineStr">
        <is>
          <t>RIGE lista los agentes del proyecto, declarados por el usuario e incorporados por la herramienta, e identifica cada uno como tal, por ambas interfaces</t>
        </is>
      </c>
      <c r="C20" s="46" t="inlineStr">
        <is>
          <t>Funcional</t>
        </is>
      </c>
      <c r="D20" s="46" t="n"/>
      <c r="E20" s="46" t="inlineStr">
        <is>
          <t>Must</t>
        </is>
      </c>
      <c r="F20" s="46" t="inlineStr">
        <is>
          <t>Toda consulta parte de un agente determinado, y los agentes que la herramienta incorpora sin declaración son los que el usuario puede desconocer, conforme al apartado I.6.1 del informe de la AE1. Sin listado, el agente externo debe conocer de antemano el nombre que consulta</t>
        </is>
      </c>
      <c r="G20" s="46" t="inlineStr">
        <is>
          <t>CA-1: Dado un escenario con agentes declarados y agentes que la herramienta incorpora sin declaración, el sistema lista todos e identifica cada uno como declarado o nativo. CA-2: El conjunto coincide con los agentes que reconoce OpenCode 1.18.25 según el comando nativo `opencode agent list` de la versión 1.18.25. CA-3: La línea de comandos y la interfaz web local informan el mismo conjunto</t>
        </is>
      </c>
      <c r="H20" s="46" t="inlineStr">
        <is>
          <t>H-18; AE1, I.6.1 e I.1.3; precisión de la decisión L-06 (Anexo III, D-51); acta de validación, extensión</t>
        </is>
      </c>
      <c r="I20" s="46" t="inlineStr">
        <is>
          <t>Validado</t>
        </is>
      </c>
      <c r="J20" s="46" t="n">
        <v>2</v>
      </c>
      <c r="K20" s="46" t="inlineStr">
        <is>
          <t>Sí</t>
        </is>
      </c>
      <c r="L20" s="45">
        <f>IF($A20="","",IF(COUNTBLANK($B20:$C20)+COUNTBLANK($E20:$H20)&gt;0,"Faltan campos",IF(AND($C20="No funcional",$D20=""),"Falta categoría",IF($K20="","Falta definir si integra el MVP","Fila completa"))))</f>
        <v/>
      </c>
    </row>
    <row r="21" ht="33.75" customHeight="1" s="31">
      <c r="A21" s="47" t="inlineStr">
        <is>
          <t>RF-17</t>
        </is>
      </c>
      <c r="B21" s="47" t="inlineStr">
        <is>
          <t>RIGE conserva cada resolución de un proyecto con su fecha y el resumen de las entradas leídas, y permite recuperarla</t>
        </is>
      </c>
      <c r="C21" s="47" t="inlineStr">
        <is>
          <t>Funcional</t>
        </is>
      </c>
      <c r="D21" s="47" t="n"/>
      <c r="E21" s="47" t="inlineStr">
        <is>
          <t>Must</t>
        </is>
      </c>
      <c r="F21" s="47" t="inlineStr">
        <is>
          <t>Sostiene la estación de persistencia del caso vertical del prototipo v1 y permite identificar sobre qué estado de las entradas se resolvió (E-02)</t>
        </is>
      </c>
      <c r="G21" s="47" t="inlineStr">
        <is>
          <t>CA-1: Resuelto un proyecto del entorno controlado, la resolución queda guardada en el almacén propio con su fecha, y su recuperación devuelve los mismos valores, procedencias y declaraciones desplazadas que la consulta que la produjo. CA-2: Cada resolución declara el resumen del conjunto de entradas leídas; modificado el contenido de una entrada, una nueva resolución del mismo proyecto declara un resumen distinto. CA-3: El almacén conserva las últimas 20 resoluciones de cada proyecto</t>
        </is>
      </c>
      <c r="H21" s="47" t="inlineStr">
        <is>
          <t>Acta del 26/09/2026, E-02; Anexo III, D-23 y D-58; acta de validación, extensión</t>
        </is>
      </c>
      <c r="I21" s="47" t="inlineStr">
        <is>
          <t>Validado</t>
        </is>
      </c>
      <c r="J21" s="47" t="n">
        <v>1</v>
      </c>
      <c r="K21" s="47" t="inlineStr">
        <is>
          <t>Sí</t>
        </is>
      </c>
      <c r="L21" s="45">
        <f>IF($A21="","",IF(COUNTBLANK($B21:$C21)+COUNTBLANK($E21:$H21)&gt;0,"Faltan campos",IF(AND($C21="No funcional",$D21=""),"Falta categoría",IF($K21="","Falta definir si integra el MVP","Fila completa"))))</f>
        <v/>
      </c>
    </row>
    <row r="22" ht="33.75" customHeight="1" s="31">
      <c r="A22" s="46" t="inlineStr">
        <is>
          <t>RNF-01</t>
        </is>
      </c>
      <c r="B22" s="46" t="inlineStr">
        <is>
          <t>RIGE no modifica ninguna entrada de configuración; escribe únicamente en su propio almacén</t>
        </is>
      </c>
      <c r="C22" s="46" t="inlineStr">
        <is>
          <t>No funcional</t>
        </is>
      </c>
      <c r="D22" s="46" t="inlineStr">
        <is>
          <t>Seguridad</t>
        </is>
      </c>
      <c r="E22" s="46" t="inlineStr">
        <is>
          <t>Must</t>
        </is>
      </c>
      <c r="F22" s="46" t="inlineStr">
        <is>
          <t>Sostiene el carácter auditable de la herramienta y la exclusión de la edición</t>
        </is>
      </c>
      <c r="G22" s="46" t="inlineStr">
        <is>
          <t>CA-1: Calculado el resumen SHA-256 de todos los archivos alcanzados por el análisis, ejecutado un análisis completo y recalculados los resúmenes, los valores resultan idénticos en el 100 % de los archivos. CA-2: En el mismo análisis, ninguna marca de tiempo de modificación cambia</t>
        </is>
      </c>
      <c r="H22" s="46" t="inlineStr">
        <is>
          <t>Acta del 26/09/2026, decisión L-01</t>
        </is>
      </c>
      <c r="I22" s="46" t="inlineStr">
        <is>
          <t>Validado</t>
        </is>
      </c>
      <c r="J22" s="46" t="n">
        <v>1</v>
      </c>
      <c r="K22" s="46" t="inlineStr">
        <is>
          <t>Sí</t>
        </is>
      </c>
      <c r="L22" s="45">
        <f>IF($A22="","",IF(COUNTBLANK($B22:$C22)+COUNTBLANK($E22:$H22)&gt;0,"Faltan campos",IF(AND($C22="No funcional",$D22=""),"Falta categoría",IF($K22="","Falta definir si integra el MVP","Fila completa"))))</f>
        <v/>
      </c>
    </row>
    <row r="23" ht="33.75" customHeight="1" s="31">
      <c r="A23" s="47" t="inlineStr">
        <is>
          <t>RNF-02</t>
        </is>
      </c>
      <c r="B23" s="47" t="inlineStr">
        <is>
          <t>El valor efectivo y la decisión de permiso que informa RIGE coinciden con los de OpenCode 1.18.25</t>
        </is>
      </c>
      <c r="C23" s="47" t="inlineStr">
        <is>
          <t>No funcional</t>
        </is>
      </c>
      <c r="D23" s="47" t="inlineStr">
        <is>
          <t>Fiabilidad</t>
        </is>
      </c>
      <c r="E23" s="47" t="inlineStr">
        <is>
          <t>Must</t>
        </is>
      </c>
      <c r="F23" s="47" t="inlineStr">
        <is>
          <t>Constituye la mitigación del riesgo principal del proyecto: informar con precisión aparente un resultado erróneo agravaría el problema en lugar de reducirlo</t>
        </is>
      </c>
      <c r="G23" s="47" t="inlineStr">
        <is>
          <t>CA-1: Sobre el conjunto de escenarios del entorno controlado, el valor efectivo por agente coincide con el comando nativo de resolución por agente en el 100 % de los casos. CA-2: Sobre el mismo conjunto, la decisión de permiso coincide con la del evaluador vigente en el 100 % de los casos, con identificación correcta de la regla determinante</t>
        </is>
      </c>
      <c r="H23" s="47" t="inlineStr">
        <is>
          <t>H-01, H-05, H-10</t>
        </is>
      </c>
      <c r="I23" s="47" t="inlineStr">
        <is>
          <t>Validado</t>
        </is>
      </c>
      <c r="J23" s="47" t="n">
        <v>3</v>
      </c>
      <c r="K23" s="47" t="inlineStr">
        <is>
          <t>Sí</t>
        </is>
      </c>
      <c r="L23" s="45">
        <f>IF($A23="","",IF(COUNTBLANK($B23:$C23)+COUNTBLANK($E23:$H23)&gt;0,"Faltan campos",IF(AND($C23="No funcional",$D23=""),"Falta categoría",IF($K23="","Falta definir si integra el MVP","Fila completa"))))</f>
        <v/>
      </c>
    </row>
    <row r="24" ht="33.75" customHeight="1" s="31">
      <c r="A24" s="46" t="inlineStr">
        <is>
          <t>RNF-03</t>
        </is>
      </c>
      <c r="B24" s="46" t="inlineStr">
        <is>
          <t>El núcleo no depende del adaptador de OpenCode: los tipos de elemento, el orden de precedencia, la estrategia de fusión y la forma de evaluar permisos los declara el adaptador</t>
        </is>
      </c>
      <c r="C24" s="46" t="inlineStr">
        <is>
          <t>No funcional</t>
        </is>
      </c>
      <c r="D24" s="46" t="inlineStr">
        <is>
          <t>Mantenibilidad</t>
        </is>
      </c>
      <c r="E24" s="46" t="inlineStr">
        <is>
          <t>Must</t>
        </is>
      </c>
      <c r="F24" s="46" t="inlineStr">
        <is>
          <t>Constituye la decisión arquitectónica que hace posible incorporar otras herramientas sin rehacer el sistema</t>
        </is>
      </c>
      <c r="G24" s="46" t="inlineStr">
        <is>
          <t>CA-1: El análisis estático de dependencias registra cero importaciones del núcleo hacia el adaptador. CA-2: La búsqueda en el código del núcleo registra cero apariciones de identificaciones de la herramienta. CA-3: Un adaptador de una herramienta ficticia, escrito únicamente contra el contrato del núcleo, se resuelve con cero modificaciones del núcleo</t>
        </is>
      </c>
      <c r="H24" s="46" t="inlineStr">
        <is>
          <t>HA-4</t>
        </is>
      </c>
      <c r="I24" s="46" t="inlineStr">
        <is>
          <t>Validado</t>
        </is>
      </c>
      <c r="J24" s="46" t="n">
        <v>1</v>
      </c>
      <c r="K24" s="46" t="inlineStr">
        <is>
          <t>Sí</t>
        </is>
      </c>
      <c r="L24" s="45">
        <f>IF($A24="","",IF(COUNTBLANK($B24:$C24)+COUNTBLANK($E24:$H24)&gt;0,"Faltan campos",IF(AND($C24="No funcional",$D24=""),"Falta categoría",IF($K24="","Falta definir si integra el MVP","Fila completa"))))</f>
        <v/>
      </c>
    </row>
    <row r="25" ht="33.75" customHeight="1" s="31">
      <c r="A25" s="47" t="inlineStr">
        <is>
          <t>RNF-04</t>
        </is>
      </c>
      <c r="B25" s="47" t="inlineStr">
        <is>
          <t>RIGE nunca expone el contenido que una sustitución incorpora a una declaración; informa su origen (el nombre de la variable de entorno o la ruta del archivo) y su condición de definido o no definido</t>
        </is>
      </c>
      <c r="C25" s="47" t="inlineStr">
        <is>
          <t>No funcional</t>
        </is>
      </c>
      <c r="D25" s="47" t="inlineStr">
        <is>
          <t>Seguridad</t>
        </is>
      </c>
      <c r="E25" s="47" t="inlineStr">
        <is>
          <t>Must</t>
        </is>
      </c>
      <c r="F25" s="47" t="inlineStr">
        <is>
          <t>Las variables de entorno suelen contener credenciales</t>
        </is>
      </c>
      <c r="G25" s="47" t="inlineStr">
        <is>
          <t>CA-1: Definida una variable con un valor conocido y referenciada por una sustitución en una declaración, la búsqueda textual registra cero apariciones de ese valor en las salidas del sistema (interfaz, línea de comandos, diagnóstico y almacén propio). CA-2: La misma condición se cumple para el contenido de un archivo incorporado por sustitución y para una sustitución contenida en una variable de entorno que constituye una entrada de configuración. CA-3: Para el 100 % de las sustituciones, el sistema informa su origen y su condición de definido o no definido</t>
        </is>
      </c>
      <c r="H25" s="47" t="inlineStr">
        <is>
          <t>Acta del 26/09/2026, decisión L-03; acta de validación, extensión</t>
        </is>
      </c>
      <c r="I25" s="47" t="inlineStr">
        <is>
          <t>Validado</t>
        </is>
      </c>
      <c r="J25" s="47" t="n">
        <v>3</v>
      </c>
      <c r="K25" s="47" t="inlineStr">
        <is>
          <t>Sí</t>
        </is>
      </c>
      <c r="L25" s="45">
        <f>IF($A25="","",IF(COUNTBLANK($B25:$C25)+COUNTBLANK($E25:$H25)&gt;0,"Faltan campos",IF(AND($C25="No funcional",$D25=""),"Falta categoría",IF($K25="","Falta definir si integra el MVP","Fila completa"))))</f>
        <v/>
      </c>
    </row>
    <row r="26" ht="33.75" customHeight="1" s="31">
      <c r="A26" s="46" t="inlineStr">
        <is>
          <t>RNF-05</t>
        </is>
      </c>
      <c r="B26" s="46" t="inlineStr">
        <is>
          <t>RIGE opera sin conexión a servicios externos durante el análisis</t>
        </is>
      </c>
      <c r="C26" s="46" t="inlineStr">
        <is>
          <t>No funcional</t>
        </is>
      </c>
      <c r="D26" s="46" t="inlineStr">
        <is>
          <t>Seguridad</t>
        </is>
      </c>
      <c r="E26" s="46" t="inlineStr">
        <is>
          <t>Must</t>
        </is>
      </c>
      <c r="F26" s="46" t="inlineStr">
        <is>
          <t>Sostiene el carácter local y auditable de la herramienta, y es la restricción que impide resolver la explicación mediante un modelo de lenguaje remoto</t>
        </is>
      </c>
      <c r="G26" s="46" t="inlineStr">
        <is>
          <t>CA-1: Ejecutado un análisis completo con el monitor de red activo, se registran cero conexiones salientes. CA-2: Con la interfaz de red deshabilitada, el análisis se completa con el mismo resultado</t>
        </is>
      </c>
      <c r="H26" s="46" t="inlineStr">
        <is>
          <t>AE1, I.6.4; acta del 26/09/2026, decisión L-04</t>
        </is>
      </c>
      <c r="I26" s="46" t="inlineStr">
        <is>
          <t>Validado</t>
        </is>
      </c>
      <c r="J26" s="46" t="n">
        <v>3</v>
      </c>
      <c r="K26" s="46" t="inlineStr">
        <is>
          <t>Sí</t>
        </is>
      </c>
      <c r="L26" s="45">
        <f>IF($A26="","",IF(COUNTBLANK($B26:$C26)+COUNTBLANK($E26:$H26)&gt;0,"Faltan campos",IF(AND($C26="No funcional",$D26=""),"Falta categoría",IF($K26="","Falta definir si integra el MVP","Fila completa"))))</f>
        <v/>
      </c>
    </row>
    <row r="27" ht="33.75" customHeight="1" s="31">
      <c r="A27" s="47" t="inlineStr">
        <is>
          <t>RNF-06</t>
        </is>
      </c>
      <c r="B27" s="47" t="inlineStr">
        <is>
          <t>RIGE resuelve las rutas de configuración según el sistema operativo, opera sobre Ubuntu 26.04 y Windows 11 y se instala sin privilegios administrativos</t>
        </is>
      </c>
      <c r="C27" s="47" t="inlineStr">
        <is>
          <t>No funcional</t>
        </is>
      </c>
      <c r="D27" s="47" t="inlineStr">
        <is>
          <t>Portabilidad</t>
        </is>
      </c>
      <c r="E27" s="47" t="inlineStr">
        <is>
          <t>Should</t>
        </is>
      </c>
      <c r="F27" s="47" t="inlineStr">
        <is>
          <t>Condiciona el descubrimiento de las entradas en cada plataforma. Según declara la referente, el equipo relevado programa en Windows, y las mediciones del proyecto se realizan en Ubuntu. Se prioriza como Should porque la verificación en ambas plataformas corre en cada integración sin horas propias, y la acreditación manual se realiza una sola vez, en la estabilización</t>
        </is>
      </c>
      <c r="G27" s="47" t="inlineStr">
        <is>
          <t>CA-1: Sobre el mismo escenario ejecutado en Ubuntu 26.04 y en Windows 11, se verifica coincidencia en el 100 % de las entradas descubiertas y los valores efectivos, con las rutas comparadas en forma relativa a la raíz del escenario y con «/» como separador; las decisiones de permiso quedan fuera de esta comparación. CA-2: En los escenarios que ejercitan rutas, se verifica coincidencia en el 100 % de los valores con los de OpenCode 1.18.25 ejecutado en Windows 11. CA-3: La instalación, siguiendo el README.md, se completa con una cuenta sin privilegios administrativos en las dos plataformas</t>
        </is>
      </c>
      <c r="H27" s="47" t="inlineStr">
        <is>
          <t>H-04, H-19 (pendiente de reproducción en Ubuntu); acta del 26/09/2026, decisión L-11</t>
        </is>
      </c>
      <c r="I27" s="47" t="inlineStr">
        <is>
          <t>Validado</t>
        </is>
      </c>
      <c r="J27" s="47" t="inlineStr">
        <is>
          <t>4 (acreditación en la estabilización)</t>
        </is>
      </c>
      <c r="K27" s="47" t="inlineStr">
        <is>
          <t>No</t>
        </is>
      </c>
      <c r="L27" s="45">
        <f>IF($A27="","",IF(COUNTBLANK($B27:$C27)+COUNTBLANK($E27:$H27)&gt;0,"Faltan campos",IF(AND($C27="No funcional",$D27=""),"Falta categoría",IF($K27="","Falta definir si integra el MVP","Fila completa"))))</f>
        <v/>
      </c>
    </row>
    <row r="28" ht="33.75" customHeight="1" s="31">
      <c r="A28" s="46" t="inlineStr">
        <is>
          <t>RNF-07</t>
        </is>
      </c>
      <c r="B28" s="46" t="inlineStr">
        <is>
          <t>Una consulta por línea de comandos finaliza en menos de 2 segundos sobre un proyecto del doble de tamaño que un proyecto real de referencia, en el equipo de referencia del proyecto</t>
        </is>
      </c>
      <c r="C28" s="46" t="inlineStr">
        <is>
          <t>No funcional</t>
        </is>
      </c>
      <c r="D28" s="46" t="inlineStr">
        <is>
          <t>Rendimiento</t>
        </is>
      </c>
      <c r="E28" s="46" t="inlineStr">
        <is>
          <t>Should</t>
        </is>
      </c>
      <c r="F28" s="46" t="inlineStr">
        <is>
          <t>El uso por un agente externo, que invoca de manera repetida, vuelve relevante el tiempo de respuesta</t>
        </is>
      </c>
      <c r="G28" s="46" t="inlineStr">
        <is>
          <t>CA-1: Sobre un proyecto sintético con el doble de agentes, entradas y elementos que el mayor entre el proyecto público de referencia (openchamber, commit `fc012ae`: 6 agentes, 9 comandos y 7 servidores LSP en 16 archivos de configuración; Anexo III, D-57) y el proyecto del equipo de la referente, si lo informa, en el contenedor Ubuntu 26.04 de referencia sobre Docker Desktop y WSL 2 (imagen base `ubuntu:26.04` fijada por su resumen `sha256:da6fc2be547864451aa253836dd926da33623312df4a9a243e35dc877c378a78`, Ubuntu 26.04.1 LTS, con 12 procesadores lógicos y 8 GB de memoria asignados a la máquina virtual de Docker), la invocación completa por línea de comandos de la consulta de valores de un agente finaliza en menos de 2 s, medida sobre diez corridas y tomando el peor caso</t>
        </is>
      </c>
      <c r="H28" s="46" t="inlineStr">
        <is>
          <t>HA-3; acta del 26/09/2026, sección 3.2; Anexo III, D-28 y D-29; Anexo III, D-57</t>
        </is>
      </c>
      <c r="I28" s="46" t="inlineStr">
        <is>
          <t>Validado</t>
        </is>
      </c>
      <c r="J28" s="46" t="inlineStr">
        <is>
          <t>4 (acreditación en la estabilización)</t>
        </is>
      </c>
      <c r="K28" s="46" t="inlineStr">
        <is>
          <t>No</t>
        </is>
      </c>
      <c r="L28" s="45">
        <f>IF($A28="","",IF(COUNTBLANK($B28:$C28)+COUNTBLANK($E28:$H28)&gt;0,"Faltan campos",IF(AND($C28="No funcional",$D28=""),"Falta categoría",IF($K28="","Falta definir si integra el MVP","Fila completa"))))</f>
        <v/>
      </c>
    </row>
    <row r="29" ht="33.75" customHeight="1" s="31">
      <c r="A29" s="47" t="inlineStr">
        <is>
          <t>RNF-08</t>
        </is>
      </c>
      <c r="B29" s="47" t="inlineStr">
        <is>
          <t>Todo cambio incompatible del esquema de salida de la línea de comandos incrementa su versión mayor, de modo que un consumidor sabe cuándo debe adaptarse</t>
        </is>
      </c>
      <c r="C29" s="47" t="inlineStr">
        <is>
          <t>No funcional</t>
        </is>
      </c>
      <c r="D29" s="47" t="inlineStr">
        <is>
          <t>Mantenibilidad</t>
        </is>
      </c>
      <c r="E29" s="47" t="inlineStr">
        <is>
          <t>Should</t>
        </is>
      </c>
      <c r="F29" s="47" t="inlineStr">
        <is>
          <t>Constituye la contrapartida de exponer una interfaz destinada a otro software. El compromiso solo se ejercita cuando existe una segunda versión del esquema, que el período no prevé</t>
        </is>
      </c>
      <c r="G29" s="47" t="inlineStr">
        <is>
          <t>CA-1: Publicada una nueva versión del esquema sin cambio de versión mayor, el 100 % de las salidas de referencia de la versión anterior continúa validando contra ella. CA-2: Ante un cambio incompatible, la versión mayor declarada en la salida presenta un incremento de al menos una unidad</t>
        </is>
      </c>
      <c r="H29" s="47" t="inlineStr">
        <is>
          <t>HA-3; acta del 26/09/2026, decisión L-06; acta del 26/09/2026, E-01</t>
        </is>
      </c>
      <c r="I29" s="47" t="inlineStr">
        <is>
          <t>Validado</t>
        </is>
      </c>
      <c r="J29" s="47" t="inlineStr">
        <is>
          <t>3 (condicionado a las horas)</t>
        </is>
      </c>
      <c r="K29" s="47" t="inlineStr">
        <is>
          <t>No</t>
        </is>
      </c>
      <c r="L29" s="45">
        <f>IF($A29="","",IF(COUNTBLANK($B29:$C29)+COUNTBLANK($E29:$H29)&gt;0,"Faltan campos",IF(AND($C29="No funcional",$D29=""),"Falta categoría",IF($K29="","Falta definir si integra el MVP","Fila completa"))))</f>
        <v/>
      </c>
    </row>
    <row r="30" ht="33.75" customHeight="1" s="31">
      <c r="A30" s="46" t="inlineStr">
        <is>
          <t>RNF-09</t>
        </is>
      </c>
      <c r="B30" s="46" t="inlineStr">
        <is>
          <t>La interfaz web local atiende únicamente solicitudes dirigidas a la dirección local del equipo y no permite que otro origen lea sus respuestas</t>
        </is>
      </c>
      <c r="C30" s="46" t="inlineStr">
        <is>
          <t>No funcional</t>
        </is>
      </c>
      <c r="D30" s="46" t="inlineStr">
        <is>
          <t>Seguridad</t>
        </is>
      </c>
      <c r="E30" s="46" t="inlineStr">
        <is>
          <t>Must</t>
        </is>
      </c>
      <c r="F30" s="46" t="inlineStr">
        <is>
          <t>La escucha en la dirección local no impide que una página abierta en el navegador dirija solicitudes al puerto y lea sus respuestas, que contienen rutas, permisos y nombres de variables. Sin este control se burla la frontera declarada en el apartado I.6.4 del informe de la AE1</t>
        </is>
      </c>
      <c r="G30" s="46" t="inlineStr">
        <is>
          <t>CA-1: Una solicitud con cabecera Host distinta de 127.0.0.1:&lt;puerto&gt; o localhost:&lt;puerto&gt; se rechaza con cero datos devueltos. CA-2: Una solicitud con método distinto de GET se rechaza, con cero solicitudes aceptadas bajo esa condición. CA-3: El conteo de cabeceras que habilitan el acceso desde otro origen es cero en todas las respuestas</t>
        </is>
      </c>
      <c r="H30" s="46" t="inlineStr">
        <is>
          <t>AE1, I.6.4; acta del 26/09/2026, decisión L-04; acta de validación, extensión</t>
        </is>
      </c>
      <c r="I30" s="46" t="inlineStr">
        <is>
          <t>Validado</t>
        </is>
      </c>
      <c r="J30" s="46" t="n">
        <v>1</v>
      </c>
      <c r="K30" s="46" t="inlineStr">
        <is>
          <t>Sí</t>
        </is>
      </c>
      <c r="L30" s="45">
        <f>IF($A30="","",IF(COUNTBLANK($B30:$C30)+COUNTBLANK($E30:$H30)&gt;0,"Faltan campos",IF(AND($C30="No funcional",$D30=""),"Falta categoría",IF($K30="","Falta definir si integra el MVP","Fila completa"))))</f>
        <v/>
      </c>
    </row>
    <row r="31" ht="33.75" customHeight="1" s="31">
      <c r="A31" s="47" t="inlineStr">
        <is>
          <t>RNF-10</t>
        </is>
      </c>
      <c r="B31" s="47" t="inlineStr">
        <is>
          <t>RIGE conserva el aviso de copyright y la licencia MIT de OpenCode en el código que incorpora, y lo declara en su distribución</t>
        </is>
      </c>
      <c r="C31" s="47" t="inlineStr">
        <is>
          <t>No funcional</t>
        </is>
      </c>
      <c r="D31" s="47" t="inlineStr">
        <is>
          <t>Cumplimiento normativo</t>
        </is>
      </c>
      <c r="E31" s="47" t="inlineStr">
        <is>
          <t>Must</t>
        </is>
      </c>
      <c r="F31" s="47" t="inlineStr">
        <is>
          <t>RIGE incorpora las funciones de evaluación de permisos de la herramienta bajo su licencia MIT (Anexo III, D-06), que exige conservar el aviso de copyright y la licencia en toda copia</t>
        </is>
      </c>
      <c r="G31" s="47" t="inlineStr">
        <is>
          <t>CA-1: El 100 % de los archivos incorporados conserva su aviso de copyright. CA-2: El conteo en la distribución registra los dos archivos exigidos: la licencia y el archivo de avisos. CA-3: El 100 % de los resúmenes de los archivos incorporados coincide con los registrados en su procedencia</t>
        </is>
      </c>
      <c r="H31" s="47" t="inlineStr">
        <is>
          <t>Anexo III, D-06 y D-44; acta de validación, extensión</t>
        </is>
      </c>
      <c r="I31" s="47" t="inlineStr">
        <is>
          <t>Validado</t>
        </is>
      </c>
      <c r="J31" s="47" t="n">
        <v>2</v>
      </c>
      <c r="K31" s="47" t="inlineStr">
        <is>
          <t>Sí</t>
        </is>
      </c>
      <c r="L31" s="45">
        <f>IF($A31="","",IF(COUNTBLANK($B31:$C31)+COUNTBLANK($E31:$H31)&gt;0,"Faltan campos",IF(AND($C31="No funcional",$D31=""),"Falta categoría",IF($K31="","Falta definir si integra el MVP","Fila completa"))))</f>
        <v/>
      </c>
    </row>
    <row r="32" ht="33.75" customHeight="1" s="31">
      <c r="A32" s="46" t="n"/>
      <c r="B32" s="46" t="n"/>
      <c r="C32" s="46" t="n"/>
      <c r="D32" s="46" t="n"/>
      <c r="E32" s="46" t="n"/>
      <c r="F32" s="46" t="n"/>
      <c r="G32" s="46" t="n"/>
      <c r="H32" s="46" t="n"/>
      <c r="I32" s="46" t="n"/>
      <c r="J32" s="46" t="n"/>
      <c r="K32" s="46" t="n"/>
      <c r="L32" s="45">
        <f>IF($A32="","",IF(COUNTBLANK($B32:$C32)+COUNTBLANK($E32:$H32)&gt;0,"Faltan campos",IF(AND($C32="No funcional",$D32=""),"Falta categoría",IF($K32="","Falta definir si integra el MVP","Fila completa"))))</f>
        <v/>
      </c>
    </row>
    <row r="33" ht="33.75" customHeight="1" s="31">
      <c r="A33" s="47" t="n"/>
      <c r="B33" s="47" t="n"/>
      <c r="C33" s="47" t="n"/>
      <c r="D33" s="47" t="n"/>
      <c r="E33" s="47" t="n"/>
      <c r="F33" s="47" t="n"/>
      <c r="G33" s="47" t="n"/>
      <c r="H33" s="47" t="n"/>
      <c r="I33" s="47" t="n"/>
      <c r="J33" s="47" t="n"/>
      <c r="K33" s="47" t="n"/>
      <c r="L33" s="45">
        <f>IF($A33="","",IF(COUNTBLANK($B33:$C33)+COUNTBLANK($E33:$H33)&gt;0,"Faltan campos",IF(AND($C33="No funcional",$D33=""),"Falta categoría",IF($K33="","Falta definir si integra el MVP","Fila completa"))))</f>
        <v/>
      </c>
    </row>
    <row r="34" ht="33.75" customHeight="1" s="31">
      <c r="A34" s="46" t="n"/>
      <c r="B34" s="46" t="n"/>
      <c r="C34" s="46" t="n"/>
      <c r="D34" s="46" t="n"/>
      <c r="E34" s="46" t="n"/>
      <c r="F34" s="46" t="n"/>
      <c r="G34" s="46" t="n"/>
      <c r="H34" s="46" t="n"/>
      <c r="I34" s="46" t="n"/>
      <c r="J34" s="46" t="n"/>
      <c r="K34" s="46" t="n"/>
      <c r="L34" s="45">
        <f>IF($A34="","",IF(COUNTBLANK($B34:$C34)+COUNTBLANK($E34:$H34)&gt;0,"Faltan campos",IF(AND($C34="No funcional",$D34=""),"Falta categoría",IF($K34="","Falta definir si integra el MVP","Fila completa"))))</f>
        <v/>
      </c>
    </row>
    <row r="35" ht="33.75" customHeight="1" s="31">
      <c r="A35" s="47" t="n"/>
      <c r="B35" s="47" t="n"/>
      <c r="C35" s="47" t="n"/>
      <c r="D35" s="47" t="n"/>
      <c r="E35" s="47" t="n"/>
      <c r="F35" s="47" t="n"/>
      <c r="G35" s="47" t="n"/>
      <c r="H35" s="47" t="n"/>
      <c r="I35" s="47" t="n"/>
      <c r="J35" s="47" t="n"/>
      <c r="K35" s="47" t="n"/>
      <c r="L35" s="45">
        <f>IF($A35="","",IF(COUNTBLANK($B35:$C35)+COUNTBLANK($E35:$H35)&gt;0,"Faltan campos",IF(AND($C35="No funcional",$D35=""),"Falta categoría",IF($K35="","Falta definir si integra el MVP","Fila completa"))))</f>
        <v/>
      </c>
    </row>
    <row r="36" ht="33.75" customHeight="1" s="31">
      <c r="A36" s="46" t="n"/>
      <c r="B36" s="46" t="n"/>
      <c r="C36" s="46" t="n"/>
      <c r="D36" s="46" t="n"/>
      <c r="E36" s="46" t="n"/>
      <c r="F36" s="46" t="n"/>
      <c r="G36" s="46" t="n"/>
      <c r="H36" s="46" t="n"/>
      <c r="I36" s="46" t="n"/>
      <c r="J36" s="46" t="n"/>
      <c r="K36" s="46" t="n"/>
      <c r="L36" s="45">
        <f>IF($A36="","",IF(COUNTBLANK($B36:$C36)+COUNTBLANK($E36:$H36)&gt;0,"Faltan campos",IF(AND($C36="No funcional",$D36=""),"Falta categoría",IF($K36="","Falta definir si integra el MVP","Fila completa"))))</f>
        <v/>
      </c>
    </row>
    <row r="37" ht="33.75" customHeight="1" s="31">
      <c r="A37" s="47" t="n"/>
      <c r="B37" s="47" t="n"/>
      <c r="C37" s="47" t="n"/>
      <c r="D37" s="47" t="n"/>
      <c r="E37" s="47" t="n"/>
      <c r="F37" s="47" t="n"/>
      <c r="G37" s="47" t="n"/>
      <c r="H37" s="47" t="n"/>
      <c r="I37" s="47" t="n"/>
      <c r="J37" s="47" t="n"/>
      <c r="K37" s="47" t="n"/>
      <c r="L37" s="45">
        <f>IF($A37="","",IF(COUNTBLANK($B37:$C37)+COUNTBLANK($E37:$H37)&gt;0,"Faltan campos",IF(AND($C37="No funcional",$D37=""),"Falta categoría",IF($K37="","Falta definir si integra el MVP","Fila completa"))))</f>
        <v/>
      </c>
    </row>
    <row r="38" ht="33.75" customHeight="1" s="31">
      <c r="A38" s="46" t="n"/>
      <c r="B38" s="46" t="n"/>
      <c r="C38" s="46" t="n"/>
      <c r="D38" s="46" t="n"/>
      <c r="E38" s="46" t="n"/>
      <c r="F38" s="46" t="n"/>
      <c r="G38" s="46" t="n"/>
      <c r="H38" s="46" t="n"/>
      <c r="I38" s="46" t="n"/>
      <c r="J38" s="46" t="n"/>
      <c r="K38" s="46" t="n"/>
      <c r="L38" s="45">
        <f>IF($A38="","",IF(COUNTBLANK($B38:$C38)+COUNTBLANK($E38:$H38)&gt;0,"Faltan campos",IF(AND($C38="No funcional",$D38=""),"Falta categoría",IF($K38="","Falta definir si integra el MVP","Fila completa"))))</f>
        <v/>
      </c>
    </row>
    <row r="39" ht="33.75" customHeight="1" s="31">
      <c r="A39" s="47" t="n"/>
      <c r="B39" s="47" t="n"/>
      <c r="C39" s="47" t="n"/>
      <c r="D39" s="47" t="n"/>
      <c r="E39" s="47" t="n"/>
      <c r="F39" s="47" t="n"/>
      <c r="G39" s="47" t="n"/>
      <c r="H39" s="47" t="n"/>
      <c r="I39" s="47" t="n"/>
      <c r="J39" s="47" t="n"/>
      <c r="K39" s="47" t="n"/>
      <c r="L39" s="45">
        <f>IF($A39="","",IF(COUNTBLANK($B39:$C39)+COUNTBLANK($E39:$H39)&gt;0,"Faltan campos",IF(AND($C39="No funcional",$D39=""),"Falta categoría",IF($K39="","Falta definir si integra el MVP","Fila completa"))))</f>
        <v/>
      </c>
    </row>
    <row r="40" ht="33.75" customHeight="1" s="31">
      <c r="A40" s="46" t="n"/>
      <c r="B40" s="46" t="n"/>
      <c r="C40" s="46" t="n"/>
      <c r="D40" s="46" t="n"/>
      <c r="E40" s="46" t="n"/>
      <c r="F40" s="46" t="n"/>
      <c r="G40" s="46" t="n"/>
      <c r="H40" s="46" t="n"/>
      <c r="I40" s="46" t="n"/>
      <c r="J40" s="46" t="n"/>
      <c r="K40" s="46" t="n"/>
      <c r="L40" s="45">
        <f>IF($A40="","",IF(COUNTBLANK($B40:$C40)+COUNTBLANK($E40:$H40)&gt;0,"Faltan campos",IF(AND($C40="No funcional",$D40=""),"Falta categoría",IF($K40="","Falta definir si integra el MVP","Fila completa"))))</f>
        <v/>
      </c>
    </row>
    <row r="41" ht="33.75" customHeight="1" s="31">
      <c r="A41" s="47" t="n"/>
      <c r="B41" s="47" t="n"/>
      <c r="C41" s="47" t="n"/>
      <c r="D41" s="47" t="n"/>
      <c r="E41" s="47" t="n"/>
      <c r="F41" s="47" t="n"/>
      <c r="G41" s="47" t="n"/>
      <c r="H41" s="47" t="n"/>
      <c r="I41" s="47" t="n"/>
      <c r="J41" s="47" t="n"/>
      <c r="K41" s="47" t="n"/>
      <c r="L41" s="45">
        <f>IF($A41="","",IF(COUNTBLANK($B41:$C41)+COUNTBLANK($E41:$H41)&gt;0,"Faltan campos",IF(AND($C41="No funcional",$D41=""),"Falta categoría",IF($K41="","Falta definir si integra el MVP","Fila completa"))))</f>
        <v/>
      </c>
    </row>
    <row r="42" ht="33.75" customHeight="1" s="31">
      <c r="A42" s="46" t="n"/>
      <c r="B42" s="46" t="n"/>
      <c r="C42" s="46" t="n"/>
      <c r="D42" s="46" t="n"/>
      <c r="E42" s="46" t="n"/>
      <c r="F42" s="46" t="n"/>
      <c r="G42" s="46" t="n"/>
      <c r="H42" s="46" t="n"/>
      <c r="I42" s="46" t="n"/>
      <c r="J42" s="46" t="n"/>
      <c r="K42" s="46" t="n"/>
      <c r="L42" s="45">
        <f>IF($A42="","",IF(COUNTBLANK($B42:$C42)+COUNTBLANK($E42:$H42)&gt;0,"Faltan campos",IF(AND($C42="No funcional",$D42=""),"Falta categoría",IF($K42="","Falta definir si integra el MVP","Fila completa"))))</f>
        <v/>
      </c>
    </row>
    <row r="43" ht="33.75" customHeight="1" s="31">
      <c r="A43" s="47" t="n"/>
      <c r="B43" s="47" t="n"/>
      <c r="C43" s="47" t="n"/>
      <c r="D43" s="47" t="n"/>
      <c r="E43" s="47" t="n"/>
      <c r="F43" s="47" t="n"/>
      <c r="G43" s="47" t="n"/>
      <c r="H43" s="47" t="n"/>
      <c r="I43" s="47" t="n"/>
      <c r="J43" s="47" t="n"/>
      <c r="K43" s="47" t="n"/>
      <c r="L43" s="45">
        <f>IF($A43="","",IF(COUNTBLANK($B43:$C43)+COUNTBLANK($E43:$H43)&gt;0,"Faltan campos",IF(AND($C43="No funcional",$D43=""),"Falta categoría",IF($K43="","Falta definir si integra el MVP","Fila completa"))))</f>
        <v/>
      </c>
    </row>
    <row r="44" ht="33.75" customHeight="1" s="31">
      <c r="A44" s="46" t="n"/>
      <c r="B44" s="46" t="n"/>
      <c r="C44" s="46" t="n"/>
      <c r="D44" s="46" t="n"/>
      <c r="E44" s="46" t="n"/>
      <c r="F44" s="46" t="n"/>
      <c r="G44" s="46" t="n"/>
      <c r="H44" s="46" t="n"/>
      <c r="I44" s="46" t="n"/>
      <c r="J44" s="46" t="n"/>
      <c r="K44" s="46" t="n"/>
      <c r="L44" s="45">
        <f>IF($A44="","",IF(COUNTBLANK($B44:$C44)+COUNTBLANK($E44:$H44)&gt;0,"Faltan campos",IF(AND($C44="No funcional",$D44=""),"Falta categoría",IF($K44="","Falta definir si integra el MVP","Fila completa"))))</f>
        <v/>
      </c>
    </row>
    <row r="45" ht="33.75" customHeight="1" s="31">
      <c r="A45" s="47" t="n"/>
      <c r="B45" s="47" t="n"/>
      <c r="C45" s="47" t="n"/>
      <c r="D45" s="47" t="n"/>
      <c r="E45" s="47" t="n"/>
      <c r="F45" s="47" t="n"/>
      <c r="G45" s="47" t="n"/>
      <c r="H45" s="47" t="n"/>
      <c r="I45" s="47" t="n"/>
      <c r="J45" s="47" t="n"/>
      <c r="K45" s="47" t="n"/>
      <c r="L45" s="45">
        <f>IF($A45="","",IF(COUNTBLANK($B45:$C45)+COUNTBLANK($E45:$H45)&gt;0,"Faltan campos",IF(AND($C45="No funcional",$D45=""),"Falta categoría",IF($K45="","Falta definir si integra el MVP","Fila completa"))))</f>
        <v/>
      </c>
    </row>
    <row r="46" ht="33.75" customHeight="1" s="31">
      <c r="A46" s="46" t="n"/>
      <c r="B46" s="46" t="n"/>
      <c r="C46" s="46" t="n"/>
      <c r="D46" s="46" t="n"/>
      <c r="E46" s="46" t="n"/>
      <c r="F46" s="46" t="n"/>
      <c r="G46" s="46" t="n"/>
      <c r="H46" s="46" t="n"/>
      <c r="I46" s="46" t="n"/>
      <c r="J46" s="46" t="n"/>
      <c r="K46" s="46" t="n"/>
      <c r="L46" s="45">
        <f>IF($A46="","",IF(COUNTBLANK($B46:$C46)+COUNTBLANK($E46:$H46)&gt;0,"Faltan campos",IF(AND($C46="No funcional",$D46=""),"Falta categoría",IF($K46="","Falta definir si integra el MVP","Fila completa"))))</f>
        <v/>
      </c>
    </row>
    <row r="47" ht="33.75" customHeight="1" s="31">
      <c r="A47" s="47" t="n"/>
      <c r="B47" s="47" t="n"/>
      <c r="C47" s="47" t="n"/>
      <c r="D47" s="47" t="n"/>
      <c r="E47" s="47" t="n"/>
      <c r="F47" s="47" t="n"/>
      <c r="G47" s="47" t="n"/>
      <c r="H47" s="47" t="n"/>
      <c r="I47" s="47" t="n"/>
      <c r="J47" s="47" t="n"/>
      <c r="K47" s="47" t="n"/>
      <c r="L47" s="45">
        <f>IF($A47="","",IF(COUNTBLANK($B47:$C47)+COUNTBLANK($E47:$H47)&gt;0,"Faltan campos",IF(AND($C47="No funcional",$D47=""),"Falta categoría",IF($K47="","Falta definir si integra el MVP","Fila completa"))))</f>
        <v/>
      </c>
    </row>
    <row r="48" ht="33.75" customHeight="1" s="31">
      <c r="A48" s="46" t="n"/>
      <c r="B48" s="46" t="n"/>
      <c r="C48" s="46" t="n"/>
      <c r="D48" s="46" t="n"/>
      <c r="E48" s="46" t="n"/>
      <c r="F48" s="46" t="n"/>
      <c r="G48" s="46" t="n"/>
      <c r="H48" s="46" t="n"/>
      <c r="I48" s="46" t="n"/>
      <c r="J48" s="46" t="n"/>
      <c r="K48" s="46" t="n"/>
      <c r="L48" s="45">
        <f>IF($A48="","",IF(COUNTBLANK($B48:$C48)+COUNTBLANK($E48:$H48)&gt;0,"Faltan campos",IF(AND($C48="No funcional",$D48=""),"Falta categoría",IF($K48="","Falta definir si integra el MVP","Fila completa"))))</f>
        <v/>
      </c>
    </row>
    <row r="49" ht="33.75" customHeight="1" s="31">
      <c r="A49" s="47" t="n"/>
      <c r="B49" s="47" t="n"/>
      <c r="C49" s="47" t="n"/>
      <c r="D49" s="47" t="n"/>
      <c r="E49" s="47" t="n"/>
      <c r="F49" s="47" t="n"/>
      <c r="G49" s="47" t="n"/>
      <c r="H49" s="47" t="n"/>
      <c r="I49" s="47" t="n"/>
      <c r="J49" s="47" t="n"/>
      <c r="K49" s="47" t="n"/>
      <c r="L49" s="45">
        <f>IF($A49="","",IF(COUNTBLANK($B49:$C49)+COUNTBLANK($E49:$H49)&gt;0,"Faltan campos",IF(AND($C49="No funcional",$D49=""),"Falta categoría",IF($K49="","Falta definir si integra el MVP","Fila completa"))))</f>
        <v/>
      </c>
    </row>
    <row r="50" ht="33.75" customHeight="1" s="31">
      <c r="A50" s="46" t="n"/>
      <c r="B50" s="46" t="n"/>
      <c r="C50" s="46" t="n"/>
      <c r="D50" s="46" t="n"/>
      <c r="E50" s="46" t="n"/>
      <c r="F50" s="46" t="n"/>
      <c r="G50" s="46" t="n"/>
      <c r="H50" s="46" t="n"/>
      <c r="I50" s="46" t="n"/>
      <c r="J50" s="46" t="n"/>
      <c r="K50" s="46" t="n"/>
      <c r="L50" s="45">
        <f>IF($A50="","",IF(COUNTBLANK($B50:$C50)+COUNTBLANK($E50:$H50)&gt;0,"Faltan campos",IF(AND($C50="No funcional",$D50=""),"Falta categoría",IF($K50="","Falta definir si integra el MVP","Fila completa"))))</f>
        <v/>
      </c>
    </row>
    <row r="51" ht="33.75" customHeight="1" s="31">
      <c r="A51" s="47" t="n"/>
      <c r="B51" s="47" t="n"/>
      <c r="C51" s="47" t="n"/>
      <c r="D51" s="47" t="n"/>
      <c r="E51" s="47" t="n"/>
      <c r="F51" s="47" t="n"/>
      <c r="G51" s="47" t="n"/>
      <c r="H51" s="47" t="n"/>
      <c r="I51" s="47" t="n"/>
      <c r="J51" s="47" t="n"/>
      <c r="K51" s="47" t="n"/>
      <c r="L51" s="45">
        <f>IF($A51="","",IF(COUNTBLANK($B51:$C51)+COUNTBLANK($E51:$H51)&gt;0,"Faltan campos",IF(AND($C51="No funcional",$D51=""),"Falta categoría",IF($K51="","Falta definir si integra el MVP","Fila completa"))))</f>
        <v/>
      </c>
    </row>
    <row r="52" ht="33.75" customHeight="1" s="31">
      <c r="A52" s="46" t="n"/>
      <c r="B52" s="46" t="n"/>
      <c r="C52" s="46" t="n"/>
      <c r="D52" s="46" t="n"/>
      <c r="E52" s="46" t="n"/>
      <c r="F52" s="46" t="n"/>
      <c r="G52" s="46" t="n"/>
      <c r="H52" s="46" t="n"/>
      <c r="I52" s="46" t="n"/>
      <c r="J52" s="46" t="n"/>
      <c r="K52" s="46" t="n"/>
      <c r="L52" s="45">
        <f>IF($A52="","",IF(COUNTBLANK($B52:$C52)+COUNTBLANK($E52:$H52)&gt;0,"Faltan campos",IF(AND($C52="No funcional",$D52=""),"Falta categoría",IF($K52="","Falta definir si integra el MVP","Fila completa"))))</f>
        <v/>
      </c>
    </row>
    <row r="53" ht="33.75" customHeight="1" s="31">
      <c r="A53" s="47" t="n"/>
      <c r="B53" s="47" t="n"/>
      <c r="C53" s="47" t="n"/>
      <c r="D53" s="47" t="n"/>
      <c r="E53" s="47" t="n"/>
      <c r="F53" s="47" t="n"/>
      <c r="G53" s="47" t="n"/>
      <c r="H53" s="47" t="n"/>
      <c r="I53" s="47" t="n"/>
      <c r="J53" s="47" t="n"/>
      <c r="K53" s="47" t="n"/>
      <c r="L53" s="45">
        <f>IF($A53="","",IF(COUNTBLANK($B53:$C53)+COUNTBLANK($E53:$H53)&gt;0,"Faltan campos",IF(AND($C53="No funcional",$D53=""),"Falta categoría",IF($K53="","Falta definir si integra el MVP","Fila completa"))))</f>
        <v/>
      </c>
    </row>
    <row r="54" ht="33.75" customHeight="1" s="31">
      <c r="A54" s="46" t="n"/>
      <c r="B54" s="46" t="n"/>
      <c r="C54" s="46" t="n"/>
      <c r="D54" s="46" t="n"/>
      <c r="E54" s="46" t="n"/>
      <c r="F54" s="46" t="n"/>
      <c r="G54" s="46" t="n"/>
      <c r="H54" s="46" t="n"/>
      <c r="I54" s="46" t="n"/>
      <c r="J54" s="46" t="n"/>
      <c r="K54" s="46" t="n"/>
      <c r="L54" s="45">
        <f>IF($A54="","",IF(COUNTBLANK($B54:$C54)+COUNTBLANK($E54:$H54)&gt;0,"Faltan campos",IF(AND($C54="No funcional",$D54=""),"Falta categoría",IF($K54="","Falta definir si integra el MVP","Fila completa"))))</f>
        <v/>
      </c>
    </row>
    <row r="55" ht="33.75" customHeight="1" s="31">
      <c r="A55" s="47" t="n"/>
      <c r="B55" s="47" t="n"/>
      <c r="C55" s="47" t="n"/>
      <c r="D55" s="47" t="n"/>
      <c r="E55" s="47" t="n"/>
      <c r="F55" s="47" t="n"/>
      <c r="G55" s="47" t="n"/>
      <c r="H55" s="47" t="n"/>
      <c r="I55" s="47" t="n"/>
      <c r="J55" s="47" t="n"/>
      <c r="K55" s="47" t="n"/>
      <c r="L55" s="45">
        <f>IF($A55="","",IF(COUNTBLANK($B55:$C55)+COUNTBLANK($E55:$H55)&gt;0,"Faltan campos",IF(AND($C55="No funcional",$D55=""),"Falta categoría",IF($K55="","Falta definir si integra el MVP","Fila completa"))))</f>
        <v/>
      </c>
    </row>
    <row r="56" ht="33.75" customHeight="1" s="31">
      <c r="A56" s="46" t="n"/>
      <c r="B56" s="46" t="n"/>
      <c r="C56" s="46" t="n"/>
      <c r="D56" s="46" t="n"/>
      <c r="E56" s="46" t="n"/>
      <c r="F56" s="46" t="n"/>
      <c r="G56" s="46" t="n"/>
      <c r="H56" s="46" t="n"/>
      <c r="I56" s="46" t="n"/>
      <c r="J56" s="46" t="n"/>
      <c r="K56" s="46" t="n"/>
      <c r="L56" s="45">
        <f>IF($A56="","",IF(COUNTBLANK($B56:$C56)+COUNTBLANK($E56:$H56)&gt;0,"Faltan campos",IF(AND($C56="No funcional",$D56=""),"Falta categoría",IF($K56="","Falta definir si integra el MVP","Fila completa"))))</f>
        <v/>
      </c>
    </row>
    <row r="57" ht="33.75" customHeight="1" s="31">
      <c r="A57" s="47" t="n"/>
      <c r="B57" s="47" t="n"/>
      <c r="C57" s="47" t="n"/>
      <c r="D57" s="47" t="n"/>
      <c r="E57" s="47" t="n"/>
      <c r="F57" s="47" t="n"/>
      <c r="G57" s="47" t="n"/>
      <c r="H57" s="47" t="n"/>
      <c r="I57" s="47" t="n"/>
      <c r="J57" s="47" t="n"/>
      <c r="K57" s="47" t="n"/>
      <c r="L57" s="45">
        <f>IF($A57="","",IF(COUNTBLANK($B57:$C57)+COUNTBLANK($E57:$H57)&gt;0,"Faltan campos",IF(AND($C57="No funcional",$D57=""),"Falta categoría",IF($K57="","Falta definir si integra el MVP","Fila completa"))))</f>
        <v/>
      </c>
    </row>
    <row r="58" ht="33.75" customHeight="1" s="31">
      <c r="A58" s="46" t="n"/>
      <c r="B58" s="46" t="n"/>
      <c r="C58" s="46" t="n"/>
      <c r="D58" s="46" t="n"/>
      <c r="E58" s="46" t="n"/>
      <c r="F58" s="46" t="n"/>
      <c r="G58" s="46" t="n"/>
      <c r="H58" s="46" t="n"/>
      <c r="I58" s="46" t="n"/>
      <c r="J58" s="46" t="n"/>
      <c r="K58" s="46" t="n"/>
      <c r="L58" s="45">
        <f>IF($A58="","",IF(COUNTBLANK($B58:$C58)+COUNTBLANK($E58:$H58)&gt;0,"Faltan campos",IF(AND($C58="No funcional",$D58=""),"Falta categoría",IF($K58="","Falta definir si integra el MVP","Fila completa"))))</f>
        <v/>
      </c>
    </row>
    <row r="59" ht="33.75" customHeight="1" s="31">
      <c r="A59" s="47" t="n"/>
      <c r="B59" s="47" t="n"/>
      <c r="C59" s="47" t="n"/>
      <c r="D59" s="47" t="n"/>
      <c r="E59" s="47" t="n"/>
      <c r="F59" s="47" t="n"/>
      <c r="G59" s="47" t="n"/>
      <c r="H59" s="47" t="n"/>
      <c r="I59" s="47" t="n"/>
      <c r="J59" s="47" t="n"/>
      <c r="K59" s="47" t="n"/>
      <c r="L59" s="45">
        <f>IF($A59="","",IF(COUNTBLANK($B59:$C59)+COUNTBLANK($E59:$H59)&gt;0,"Faltan campos",IF(AND($C59="No funcional",$D59=""),"Falta categoría",IF($K59="","Falta definir si integra el MVP","Fila completa"))))</f>
        <v/>
      </c>
    </row>
    <row r="60" ht="33.75" customHeight="1" s="31">
      <c r="A60" s="46" t="n"/>
      <c r="B60" s="46" t="n"/>
      <c r="C60" s="46" t="n"/>
      <c r="D60" s="46" t="n"/>
      <c r="E60" s="46" t="n"/>
      <c r="F60" s="46" t="n"/>
      <c r="G60" s="46" t="n"/>
      <c r="H60" s="46" t="n"/>
      <c r="I60" s="46" t="n"/>
      <c r="J60" s="46" t="n"/>
      <c r="K60" s="46" t="n"/>
      <c r="L60" s="45">
        <f>IF($A60="","",IF(COUNTBLANK($B60:$C60)+COUNTBLANK($E60:$H60)&gt;0,"Faltan campos",IF(AND($C60="No funcional",$D60=""),"Falta categoría",IF($K60="","Falta definir si integra el MVP","Fila completa"))))</f>
        <v/>
      </c>
    </row>
    <row r="61" ht="33.75" customHeight="1" s="31">
      <c r="A61" s="47" t="n"/>
      <c r="B61" s="47" t="n"/>
      <c r="C61" s="47" t="n"/>
      <c r="D61" s="47" t="n"/>
      <c r="E61" s="47" t="n"/>
      <c r="F61" s="47" t="n"/>
      <c r="G61" s="47" t="n"/>
      <c r="H61" s="47" t="n"/>
      <c r="I61" s="47" t="n"/>
      <c r="J61" s="47" t="n"/>
      <c r="K61" s="47" t="n"/>
      <c r="L61" s="45">
        <f>IF($A61="","",IF(COUNTBLANK($B61:$C61)+COUNTBLANK($E61:$H61)&gt;0,"Faltan campos",IF(AND($C61="No funcional",$D61=""),"Falta categoría",IF($K61="","Falta definir si integra el MVP","Fila completa"))))</f>
        <v/>
      </c>
    </row>
    <row r="62" ht="33.75" customHeight="1" s="31">
      <c r="A62" s="46" t="n"/>
      <c r="B62" s="46" t="n"/>
      <c r="C62" s="46" t="n"/>
      <c r="D62" s="46" t="n"/>
      <c r="E62" s="46" t="n"/>
      <c r="F62" s="46" t="n"/>
      <c r="G62" s="46" t="n"/>
      <c r="H62" s="46" t="n"/>
      <c r="I62" s="46" t="n"/>
      <c r="J62" s="46" t="n"/>
      <c r="K62" s="46" t="n"/>
      <c r="L62" s="45">
        <f>IF($A62="","",IF(COUNTBLANK($B62:$C62)+COUNTBLANK($E62:$H62)&gt;0,"Faltan campos",IF(AND($C62="No funcional",$D62=""),"Falta categoría",IF($K62="","Falta definir si integra el MVP","Fila completa"))))</f>
        <v/>
      </c>
    </row>
    <row r="63" ht="33.75" customHeight="1" s="31">
      <c r="A63" s="47" t="n"/>
      <c r="B63" s="47" t="n"/>
      <c r="C63" s="47" t="n"/>
      <c r="D63" s="47" t="n"/>
      <c r="E63" s="47" t="n"/>
      <c r="F63" s="47" t="n"/>
      <c r="G63" s="47" t="n"/>
      <c r="H63" s="47" t="n"/>
      <c r="I63" s="47" t="n"/>
      <c r="J63" s="47" t="n"/>
      <c r="K63" s="47" t="n"/>
      <c r="L63" s="45">
        <f>IF($A63="","",IF(COUNTBLANK($B63:$C63)+COUNTBLANK($E63:$H63)&gt;0,"Faltan campos",IF(AND($C63="No funcional",$D63=""),"Falta categoría",IF($K63="","Falta definir si integra el MVP","Fila completa"))))</f>
        <v/>
      </c>
    </row>
    <row r="64" ht="33.75" customHeight="1" s="31">
      <c r="A64" s="46" t="n"/>
      <c r="B64" s="46" t="n"/>
      <c r="C64" s="46" t="n"/>
      <c r="D64" s="46" t="n"/>
      <c r="E64" s="46" t="n"/>
      <c r="F64" s="46" t="n"/>
      <c r="G64" s="46" t="n"/>
      <c r="H64" s="46" t="n"/>
      <c r="I64" s="46" t="n"/>
      <c r="J64" s="46" t="n"/>
      <c r="K64" s="46" t="n"/>
      <c r="L64" s="45">
        <f>IF($A64="","",IF(COUNTBLANK($B64:$C64)+COUNTBLANK($E64:$H64)&gt;0,"Faltan campos",IF(AND($C64="No funcional",$D64=""),"Falta categoría",IF($K64="","Falta definir si integra el MVP","Fila completa"))))</f>
        <v/>
      </c>
    </row>
    <row r="65" ht="33.75" customHeight="1" s="31">
      <c r="A65" s="47" t="n"/>
      <c r="B65" s="47" t="n"/>
      <c r="C65" s="47" t="n"/>
      <c r="D65" s="47" t="n"/>
      <c r="E65" s="47" t="n"/>
      <c r="F65" s="47" t="n"/>
      <c r="G65" s="47" t="n"/>
      <c r="H65" s="47" t="n"/>
      <c r="I65" s="47" t="n"/>
      <c r="J65" s="47" t="n"/>
      <c r="K65" s="47" t="n"/>
      <c r="L65" s="45">
        <f>IF($A65="","",IF(COUNTBLANK($B65:$C65)+COUNTBLANK($E65:$H65)&gt;0,"Faltan campos",IF(AND($C65="No funcional",$D65=""),"Falta categoría",IF($K65="","Falta definir si integra el MVP","Fila completa"))))</f>
        <v/>
      </c>
    </row>
    <row r="66" ht="33.75" customHeight="1" s="31">
      <c r="A66" s="46" t="n"/>
      <c r="B66" s="46" t="n"/>
      <c r="C66" s="46" t="n"/>
      <c r="D66" s="46" t="n"/>
      <c r="E66" s="46" t="n"/>
      <c r="F66" s="46" t="n"/>
      <c r="G66" s="46" t="n"/>
      <c r="H66" s="46" t="n"/>
      <c r="I66" s="46" t="n"/>
      <c r="J66" s="46" t="n"/>
      <c r="K66" s="46" t="n"/>
      <c r="L66" s="45">
        <f>IF($A66="","",IF(COUNTBLANK($B66:$C66)+COUNTBLANK($E66:$H66)&gt;0,"Faltan campos",IF(AND($C66="No funcional",$D66=""),"Falta categoría",IF($K66="","Falta definir si integra el MVP","Fila completa"))))</f>
        <v/>
      </c>
    </row>
    <row r="67" ht="33.75" customHeight="1" s="31">
      <c r="A67" s="47" t="n"/>
      <c r="B67" s="47" t="n"/>
      <c r="C67" s="47" t="n"/>
      <c r="D67" s="47" t="n"/>
      <c r="E67" s="47" t="n"/>
      <c r="F67" s="47" t="n"/>
      <c r="G67" s="47" t="n"/>
      <c r="H67" s="47" t="n"/>
      <c r="I67" s="47" t="n"/>
      <c r="J67" s="47" t="n"/>
      <c r="K67" s="47" t="n"/>
      <c r="L67" s="45">
        <f>IF($A67="","",IF(COUNTBLANK($B67:$C67)+COUNTBLANK($E67:$H67)&gt;0,"Faltan campos",IF(AND($C67="No funcional",$D67=""),"Falta categoría",IF($K67="","Falta definir si integra el MVP","Fila completa"))))</f>
        <v/>
      </c>
    </row>
    <row r="68" ht="33.75" customHeight="1" s="31">
      <c r="A68" s="46" t="n"/>
      <c r="B68" s="46" t="n"/>
      <c r="C68" s="46" t="n"/>
      <c r="D68" s="46" t="n"/>
      <c r="E68" s="46" t="n"/>
      <c r="F68" s="46" t="n"/>
      <c r="G68" s="46" t="n"/>
      <c r="H68" s="46" t="n"/>
      <c r="I68" s="46" t="n"/>
      <c r="J68" s="46" t="n"/>
      <c r="K68" s="46" t="n"/>
      <c r="L68" s="45">
        <f>IF($A68="","",IF(COUNTBLANK($B68:$C68)+COUNTBLANK($E68:$H68)&gt;0,"Faltan campos",IF(AND($C68="No funcional",$D68=""),"Falta categoría",IF($K68="","Falta definir si integra el MVP","Fila completa"))))</f>
        <v/>
      </c>
    </row>
    <row r="69" ht="33.75" customHeight="1" s="31">
      <c r="A69" s="47" t="n"/>
      <c r="B69" s="47" t="n"/>
      <c r="C69" s="47" t="n"/>
      <c r="D69" s="47" t="n"/>
      <c r="E69" s="47" t="n"/>
      <c r="F69" s="47" t="n"/>
      <c r="G69" s="47" t="n"/>
      <c r="H69" s="47" t="n"/>
      <c r="I69" s="47" t="n"/>
      <c r="J69" s="47" t="n"/>
      <c r="K69" s="47" t="n"/>
      <c r="L69" s="45">
        <f>IF($A69="","",IF(COUNTBLANK($B69:$C69)+COUNTBLANK($E69:$H69)&gt;0,"Faltan campos",IF(AND($C69="No funcional",$D69=""),"Falta categoría",IF($K69="","Falta definir si integra el MVP","Fila completa"))))</f>
        <v/>
      </c>
    </row>
    <row r="70" ht="33.75" customHeight="1" s="31">
      <c r="A70" s="46" t="n"/>
      <c r="B70" s="46" t="n"/>
      <c r="C70" s="46" t="n"/>
      <c r="D70" s="46" t="n"/>
      <c r="E70" s="46" t="n"/>
      <c r="F70" s="46" t="n"/>
      <c r="G70" s="46" t="n"/>
      <c r="H70" s="46" t="n"/>
      <c r="I70" s="46" t="n"/>
      <c r="J70" s="46" t="n"/>
      <c r="K70" s="46" t="n"/>
      <c r="L70" s="45">
        <f>IF($A70="","",IF(COUNTBLANK($B70:$C70)+COUNTBLANK($E70:$H70)&gt;0,"Faltan campos",IF(AND($C70="No funcional",$D70=""),"Falta categoría",IF($K70="","Falta definir si integra el MVP","Fila completa"))))</f>
        <v/>
      </c>
    </row>
    <row r="71" ht="33.75" customHeight="1" s="31">
      <c r="A71" s="47" t="n"/>
      <c r="B71" s="47" t="n"/>
      <c r="C71" s="47" t="n"/>
      <c r="D71" s="47" t="n"/>
      <c r="E71" s="47" t="n"/>
      <c r="F71" s="47" t="n"/>
      <c r="G71" s="47" t="n"/>
      <c r="H71" s="47" t="n"/>
      <c r="I71" s="47" t="n"/>
      <c r="J71" s="47" t="n"/>
      <c r="K71" s="47" t="n"/>
      <c r="L71" s="45">
        <f>IF($A71="","",IF(COUNTBLANK($B71:$C71)+COUNTBLANK($E71:$H71)&gt;0,"Faltan campos",IF(AND($C71="No funcional",$D71=""),"Falta categoría",IF($K71="","Falta definir si integra el MVP","Fila completa"))))</f>
        <v/>
      </c>
    </row>
    <row r="72" ht="33.75" customHeight="1" s="31">
      <c r="A72" s="46" t="n"/>
      <c r="B72" s="46" t="n"/>
      <c r="C72" s="46" t="n"/>
      <c r="D72" s="46" t="n"/>
      <c r="E72" s="46" t="n"/>
      <c r="F72" s="46" t="n"/>
      <c r="G72" s="46" t="n"/>
      <c r="H72" s="46" t="n"/>
      <c r="I72" s="46" t="n"/>
      <c r="J72" s="46" t="n"/>
      <c r="K72" s="46" t="n"/>
      <c r="L72" s="45">
        <f>IF($A72="","",IF(COUNTBLANK($B72:$C72)+COUNTBLANK($E72:$H72)&gt;0,"Faltan campos",IF(AND($C72="No funcional",$D72=""),"Falta categoría",IF($K72="","Falta definir si integra el MVP","Fila completa"))))</f>
        <v/>
      </c>
    </row>
    <row r="73" ht="33.75" customHeight="1" s="31">
      <c r="A73" s="47" t="n"/>
      <c r="B73" s="47" t="n"/>
      <c r="C73" s="47" t="n"/>
      <c r="D73" s="47" t="n"/>
      <c r="E73" s="47" t="n"/>
      <c r="F73" s="47" t="n"/>
      <c r="G73" s="47" t="n"/>
      <c r="H73" s="47" t="n"/>
      <c r="I73" s="47" t="n"/>
      <c r="J73" s="47" t="n"/>
      <c r="K73" s="47" t="n"/>
      <c r="L73" s="45">
        <f>IF($A73="","",IF(COUNTBLANK($B73:$C73)+COUNTBLANK($E73:$H73)&gt;0,"Faltan campos",IF(AND($C73="No funcional",$D73=""),"Falta categoría",IF($K73="","Falta definir si integra el MVP","Fila completa"))))</f>
        <v/>
      </c>
    </row>
    <row r="74" ht="33.75" customHeight="1" s="31">
      <c r="A74" s="46" t="n"/>
      <c r="B74" s="46" t="n"/>
      <c r="C74" s="46" t="n"/>
      <c r="D74" s="46" t="n"/>
      <c r="E74" s="46" t="n"/>
      <c r="F74" s="46" t="n"/>
      <c r="G74" s="46" t="n"/>
      <c r="H74" s="46" t="n"/>
      <c r="I74" s="46" t="n"/>
      <c r="J74" s="46" t="n"/>
      <c r="K74" s="46" t="n"/>
      <c r="L74" s="45">
        <f>IF($A74="","",IF(COUNTBLANK($B74:$C74)+COUNTBLANK($E74:$H74)&gt;0,"Faltan campos",IF(AND($C74="No funcional",$D74=""),"Falta categoría",IF($K74="","Falta definir si integra el MVP","Fila completa"))))</f>
        <v/>
      </c>
    </row>
    <row r="75" ht="33.75" customHeight="1" s="31">
      <c r="A75" s="47" t="n"/>
      <c r="B75" s="47" t="n"/>
      <c r="C75" s="47" t="n"/>
      <c r="D75" s="47" t="n"/>
      <c r="E75" s="47" t="n"/>
      <c r="F75" s="47" t="n"/>
      <c r="G75" s="47" t="n"/>
      <c r="H75" s="47" t="n"/>
      <c r="I75" s="47" t="n"/>
      <c r="J75" s="47" t="n"/>
      <c r="K75" s="47" t="n"/>
      <c r="L75" s="45">
        <f>IF($A75="","",IF(COUNTBLANK($B75:$C75)+COUNTBLANK($E75:$H75)&gt;0,"Faltan campos",IF(AND($C75="No funcional",$D75=""),"Falta categoría",IF($K75="","Falta definir si integra el MVP","Fila completa"))))</f>
        <v/>
      </c>
    </row>
    <row r="76" ht="33.75" customHeight="1" s="31">
      <c r="A76" s="46" t="n"/>
      <c r="B76" s="46" t="n"/>
      <c r="C76" s="46" t="n"/>
      <c r="D76" s="46" t="n"/>
      <c r="E76" s="46" t="n"/>
      <c r="F76" s="46" t="n"/>
      <c r="G76" s="46" t="n"/>
      <c r="H76" s="46" t="n"/>
      <c r="I76" s="46" t="n"/>
      <c r="J76" s="46" t="n"/>
      <c r="K76" s="46" t="n"/>
      <c r="L76" s="45">
        <f>IF($A76="","",IF(COUNTBLANK($B76:$C76)+COUNTBLANK($E76:$H76)&gt;0,"Faltan campos",IF(AND($C76="No funcional",$D76=""),"Falta categoría",IF($K76="","Falta definir si integra el MVP","Fila completa"))))</f>
        <v/>
      </c>
    </row>
    <row r="77" ht="33.75" customHeight="1" s="31">
      <c r="A77" s="47" t="n"/>
      <c r="B77" s="47" t="n"/>
      <c r="C77" s="47" t="n"/>
      <c r="D77" s="47" t="n"/>
      <c r="E77" s="47" t="n"/>
      <c r="F77" s="47" t="n"/>
      <c r="G77" s="47" t="n"/>
      <c r="H77" s="47" t="n"/>
      <c r="I77" s="47" t="n"/>
      <c r="J77" s="47" t="n"/>
      <c r="K77" s="47" t="n"/>
      <c r="L77" s="45">
        <f>IF($A77="","",IF(COUNTBLANK($B77:$C77)+COUNTBLANK($E77:$H77)&gt;0,"Faltan campos",IF(AND($C77="No funcional",$D77=""),"Falta categoría",IF($K77="","Falta definir si integra el MVP","Fila completa"))))</f>
        <v/>
      </c>
    </row>
    <row r="78" ht="33.75" customHeight="1" s="31">
      <c r="A78" s="46" t="n"/>
      <c r="B78" s="46" t="n"/>
      <c r="C78" s="46" t="n"/>
      <c r="D78" s="46" t="n"/>
      <c r="E78" s="46" t="n"/>
      <c r="F78" s="46" t="n"/>
      <c r="G78" s="46" t="n"/>
      <c r="H78" s="46" t="n"/>
      <c r="I78" s="46" t="n"/>
      <c r="J78" s="46" t="n"/>
      <c r="K78" s="46" t="n"/>
      <c r="L78" s="45">
        <f>IF($A78="","",IF(COUNTBLANK($B78:$C78)+COUNTBLANK($E78:$H78)&gt;0,"Faltan campos",IF(AND($C78="No funcional",$D78=""),"Falta categoría",IF($K78="","Falta definir si integra el MVP","Fila completa"))))</f>
        <v/>
      </c>
    </row>
    <row r="79" ht="33.75" customHeight="1" s="31">
      <c r="A79" s="47" t="n"/>
      <c r="B79" s="47" t="n"/>
      <c r="C79" s="47" t="n"/>
      <c r="D79" s="47" t="n"/>
      <c r="E79" s="47" t="n"/>
      <c r="F79" s="47" t="n"/>
      <c r="G79" s="47" t="n"/>
      <c r="H79" s="47" t="n"/>
      <c r="I79" s="47" t="n"/>
      <c r="J79" s="47" t="n"/>
      <c r="K79" s="47" t="n"/>
      <c r="L79" s="45">
        <f>IF($A79="","",IF(COUNTBLANK($B79:$C79)+COUNTBLANK($E79:$H79)&gt;0,"Faltan campos",IF(AND($C79="No funcional",$D79=""),"Falta categoría",IF($K79="","Falta definir si integra el MVP","Fila completa"))))</f>
        <v/>
      </c>
    </row>
    <row r="80" ht="33.75" customHeight="1" s="31">
      <c r="A80" s="46" t="n"/>
      <c r="B80" s="46" t="n"/>
      <c r="C80" s="46" t="n"/>
      <c r="D80" s="46" t="n"/>
      <c r="E80" s="46" t="n"/>
      <c r="F80" s="46" t="n"/>
      <c r="G80" s="46" t="n"/>
      <c r="H80" s="46" t="n"/>
      <c r="I80" s="46" t="n"/>
      <c r="J80" s="46" t="n"/>
      <c r="K80" s="46" t="n"/>
      <c r="L80" s="45">
        <f>IF($A80="","",IF(COUNTBLANK($B80:$C80)+COUNTBLANK($E80:$H80)&gt;0,"Faltan campos",IF(AND($C80="No funcional",$D80=""),"Falta categoría",IF($K80="","Falta definir si integra el MVP","Fila completa"))))</f>
        <v/>
      </c>
    </row>
    <row r="81" ht="33.75" customHeight="1" s="31">
      <c r="A81" s="47" t="n"/>
      <c r="B81" s="47" t="n"/>
      <c r="C81" s="47" t="n"/>
      <c r="D81" s="47" t="n"/>
      <c r="E81" s="47" t="n"/>
      <c r="F81" s="47" t="n"/>
      <c r="G81" s="47" t="n"/>
      <c r="H81" s="47" t="n"/>
      <c r="I81" s="47" t="n"/>
      <c r="J81" s="47" t="n"/>
      <c r="K81" s="47" t="n"/>
      <c r="L81" s="45">
        <f>IF($A81="","",IF(COUNTBLANK($B81:$C81)+COUNTBLANK($E81:$H81)&gt;0,"Faltan campos",IF(AND($C81="No funcional",$D81=""),"Falta categoría",IF($K81="","Falta definir si integra el MVP","Fila completa"))))</f>
        <v/>
      </c>
    </row>
    <row r="82" ht="33.75" customHeight="1" s="31">
      <c r="A82" s="46" t="n"/>
      <c r="B82" s="46" t="n"/>
      <c r="C82" s="46" t="n"/>
      <c r="D82" s="46" t="n"/>
      <c r="E82" s="46" t="n"/>
      <c r="F82" s="46" t="n"/>
      <c r="G82" s="46" t="n"/>
      <c r="H82" s="46" t="n"/>
      <c r="I82" s="46" t="n"/>
      <c r="J82" s="46" t="n"/>
      <c r="K82" s="46" t="n"/>
      <c r="L82" s="45">
        <f>IF($A82="","",IF(COUNTBLANK($B82:$C82)+COUNTBLANK($E82:$H82)&gt;0,"Faltan campos",IF(AND($C82="No funcional",$D82=""),"Falta categoría",IF($K82="","Falta definir si integra el MVP","Fila completa"))))</f>
        <v/>
      </c>
    </row>
    <row r="83" ht="33.75" customHeight="1" s="31">
      <c r="A83" s="47" t="n"/>
      <c r="B83" s="47" t="n"/>
      <c r="C83" s="47" t="n"/>
      <c r="D83" s="47" t="n"/>
      <c r="E83" s="47" t="n"/>
      <c r="F83" s="47" t="n"/>
      <c r="G83" s="47" t="n"/>
      <c r="H83" s="47" t="n"/>
      <c r="I83" s="47" t="n"/>
      <c r="J83" s="47" t="n"/>
      <c r="K83" s="47" t="n"/>
      <c r="L83" s="45">
        <f>IF($A83="","",IF(COUNTBLANK($B83:$C83)+COUNTBLANK($E83:$H83)&gt;0,"Faltan campos",IF(AND($C83="No funcional",$D83=""),"Falta categoría",IF($K83="","Falta definir si integra el MVP","Fila completa"))))</f>
        <v/>
      </c>
    </row>
    <row r="84" ht="33.75" customHeight="1" s="31">
      <c r="A84" s="46" t="n"/>
      <c r="B84" s="46" t="n"/>
      <c r="C84" s="46" t="n"/>
      <c r="D84" s="46" t="n"/>
      <c r="E84" s="46" t="n"/>
      <c r="F84" s="46" t="n"/>
      <c r="G84" s="46" t="n"/>
      <c r="H84" s="46" t="n"/>
      <c r="I84" s="46" t="n"/>
      <c r="J84" s="46" t="n"/>
      <c r="K84" s="46" t="n"/>
      <c r="L84" s="45">
        <f>IF($A84="","",IF(COUNTBLANK($B84:$C84)+COUNTBLANK($E84:$H84)&gt;0,"Faltan campos",IF(AND($C84="No funcional",$D84=""),"Falta categoría",IF($K84="","Falta definir si integra el MVP","Fila completa"))))</f>
        <v/>
      </c>
    </row>
    <row r="85" ht="33.75" customHeight="1" s="31">
      <c r="A85" s="47" t="n"/>
      <c r="B85" s="47" t="n"/>
      <c r="C85" s="47" t="n"/>
      <c r="D85" s="47" t="n"/>
      <c r="E85" s="47" t="n"/>
      <c r="F85" s="47" t="n"/>
      <c r="G85" s="47" t="n"/>
      <c r="H85" s="47" t="n"/>
      <c r="I85" s="47" t="n"/>
      <c r="J85" s="47" t="n"/>
      <c r="K85" s="47" t="n"/>
      <c r="L85" s="45">
        <f>IF($A85="","",IF(COUNTBLANK($B85:$C85)+COUNTBLANK($E85:$H85)&gt;0,"Faltan campos",IF(AND($C85="No funcional",$D85=""),"Falta categoría",IF($K85="","Falta definir si integra el MVP","Fila completa"))))</f>
        <v/>
      </c>
    </row>
    <row r="86" ht="33.75" customHeight="1" s="31">
      <c r="A86" s="46" t="n"/>
      <c r="B86" s="46" t="n"/>
      <c r="C86" s="46" t="n"/>
      <c r="D86" s="46" t="n"/>
      <c r="E86" s="46" t="n"/>
      <c r="F86" s="46" t="n"/>
      <c r="G86" s="46" t="n"/>
      <c r="H86" s="46" t="n"/>
      <c r="I86" s="46" t="n"/>
      <c r="J86" s="46" t="n"/>
      <c r="K86" s="46" t="n"/>
      <c r="L86" s="45">
        <f>IF($A86="","",IF(COUNTBLANK($B86:$C86)+COUNTBLANK($E86:$H86)&gt;0,"Faltan campos",IF(AND($C86="No funcional",$D86=""),"Falta categoría",IF($K86="","Falta definir si integra el MVP","Fila completa"))))</f>
        <v/>
      </c>
    </row>
    <row r="87" ht="33.75" customHeight="1" s="31">
      <c r="A87" s="47" t="n"/>
      <c r="B87" s="47" t="n"/>
      <c r="C87" s="47" t="n"/>
      <c r="D87" s="47" t="n"/>
      <c r="E87" s="47" t="n"/>
      <c r="F87" s="47" t="n"/>
      <c r="G87" s="47" t="n"/>
      <c r="H87" s="47" t="n"/>
      <c r="I87" s="47" t="n"/>
      <c r="J87" s="47" t="n"/>
      <c r="K87" s="47" t="n"/>
      <c r="L87" s="45">
        <f>IF($A87="","",IF(COUNTBLANK($B87:$C87)+COUNTBLANK($E87:$H87)&gt;0,"Faltan campos",IF(AND($C87="No funcional",$D87=""),"Falta categoría",IF($K87="","Falta definir si integra el MVP","Fila completa"))))</f>
        <v/>
      </c>
    </row>
    <row r="88" ht="33.75" customHeight="1" s="31">
      <c r="A88" s="46" t="n"/>
      <c r="B88" s="46" t="n"/>
      <c r="C88" s="46" t="n"/>
      <c r="D88" s="46" t="n"/>
      <c r="E88" s="46" t="n"/>
      <c r="F88" s="46" t="n"/>
      <c r="G88" s="46" t="n"/>
      <c r="H88" s="46" t="n"/>
      <c r="I88" s="46" t="n"/>
      <c r="J88" s="46" t="n"/>
      <c r="K88" s="46" t="n"/>
      <c r="L88" s="45">
        <f>IF($A88="","",IF(COUNTBLANK($B88:$C88)+COUNTBLANK($E88:$H88)&gt;0,"Faltan campos",IF(AND($C88="No funcional",$D88=""),"Falta categoría",IF($K88="","Falta definir si integra el MVP","Fila completa"))))</f>
        <v/>
      </c>
    </row>
    <row r="89" ht="33.75" customHeight="1" s="31">
      <c r="A89" s="47" t="n"/>
      <c r="B89" s="47" t="n"/>
      <c r="C89" s="47" t="n"/>
      <c r="D89" s="47" t="n"/>
      <c r="E89" s="47" t="n"/>
      <c r="F89" s="47" t="n"/>
      <c r="G89" s="47" t="n"/>
      <c r="H89" s="47" t="n"/>
      <c r="I89" s="47" t="n"/>
      <c r="J89" s="47" t="n"/>
      <c r="K89" s="47" t="n"/>
      <c r="L89" s="45">
        <f>IF($A89="","",IF(COUNTBLANK($B89:$C89)+COUNTBLANK($E89:$H89)&gt;0,"Faltan campos",IF(AND($C89="No funcional",$D89=""),"Falta categoría",IF($K89="","Falta definir si integra el MVP","Fila completa"))))</f>
        <v/>
      </c>
    </row>
    <row r="90" ht="33.75" customHeight="1" s="31">
      <c r="A90" s="46" t="n"/>
      <c r="B90" s="46" t="n"/>
      <c r="C90" s="46" t="n"/>
      <c r="D90" s="46" t="n"/>
      <c r="E90" s="46" t="n"/>
      <c r="F90" s="46" t="n"/>
      <c r="G90" s="46" t="n"/>
      <c r="H90" s="46" t="n"/>
      <c r="I90" s="46" t="n"/>
      <c r="J90" s="46" t="n"/>
      <c r="K90" s="46" t="n"/>
      <c r="L90" s="45">
        <f>IF($A90="","",IF(COUNTBLANK($B90:$C90)+COUNTBLANK($E90:$H90)&gt;0,"Faltan campos",IF(AND($C90="No funcional",$D90=""),"Falta categoría",IF($K90="","Falta definir si integra el MVP","Fila completa"))))</f>
        <v/>
      </c>
    </row>
    <row r="91" ht="33.75" customHeight="1" s="31">
      <c r="A91" s="47" t="n"/>
      <c r="B91" s="47" t="n"/>
      <c r="C91" s="47" t="n"/>
      <c r="D91" s="47" t="n"/>
      <c r="E91" s="47" t="n"/>
      <c r="F91" s="47" t="n"/>
      <c r="G91" s="47" t="n"/>
      <c r="H91" s="47" t="n"/>
      <c r="I91" s="47" t="n"/>
      <c r="J91" s="47" t="n"/>
      <c r="K91" s="47" t="n"/>
      <c r="L91" s="45">
        <f>IF($A91="","",IF(COUNTBLANK($B91:$C91)+COUNTBLANK($E91:$H91)&gt;0,"Faltan campos",IF(AND($C91="No funcional",$D91=""),"Falta categoría",IF($K91="","Falta definir si integra el MVP","Fila completa"))))</f>
        <v/>
      </c>
    </row>
    <row r="92" ht="33.75" customHeight="1" s="31">
      <c r="A92" s="46" t="n"/>
      <c r="B92" s="46" t="n"/>
      <c r="C92" s="46" t="n"/>
      <c r="D92" s="46" t="n"/>
      <c r="E92" s="46" t="n"/>
      <c r="F92" s="46" t="n"/>
      <c r="G92" s="46" t="n"/>
      <c r="H92" s="46" t="n"/>
      <c r="I92" s="46" t="n"/>
      <c r="J92" s="46" t="n"/>
      <c r="K92" s="46" t="n"/>
      <c r="L92" s="45">
        <f>IF($A92="","",IF(COUNTBLANK($B92:$C92)+COUNTBLANK($E92:$H92)&gt;0,"Faltan campos",IF(AND($C92="No funcional",$D92=""),"Falta categoría",IF($K92="","Falta definir si integra el MVP","Fila completa"))))</f>
        <v/>
      </c>
    </row>
    <row r="93" ht="33.75" customHeight="1" s="31">
      <c r="A93" s="47" t="n"/>
      <c r="B93" s="47" t="n"/>
      <c r="C93" s="47" t="n"/>
      <c r="D93" s="47" t="n"/>
      <c r="E93" s="47" t="n"/>
      <c r="F93" s="47" t="n"/>
      <c r="G93" s="47" t="n"/>
      <c r="H93" s="47" t="n"/>
      <c r="I93" s="47" t="n"/>
      <c r="J93" s="47" t="n"/>
      <c r="K93" s="47" t="n"/>
      <c r="L93" s="45">
        <f>IF($A93="","",IF(COUNTBLANK($B93:$C93)+COUNTBLANK($E93:$H93)&gt;0,"Faltan campos",IF(AND($C93="No funcional",$D93=""),"Falta categoría",IF($K93="","Falta definir si integra el MVP","Fila completa"))))</f>
        <v/>
      </c>
    </row>
    <row r="94" ht="33.75" customHeight="1" s="31">
      <c r="A94" s="46" t="n"/>
      <c r="B94" s="46" t="n"/>
      <c r="C94" s="46" t="n"/>
      <c r="D94" s="46" t="n"/>
      <c r="E94" s="46" t="n"/>
      <c r="F94" s="46" t="n"/>
      <c r="G94" s="46" t="n"/>
      <c r="H94" s="46" t="n"/>
      <c r="I94" s="46" t="n"/>
      <c r="J94" s="46" t="n"/>
      <c r="K94" s="46" t="n"/>
      <c r="L94" s="45">
        <f>IF($A94="","",IF(COUNTBLANK($B94:$C94)+COUNTBLANK($E94:$H94)&gt;0,"Faltan campos",IF(AND($C94="No funcional",$D94=""),"Falta categoría",IF($K94="","Falta definir si integra el MVP","Fila completa"))))</f>
        <v/>
      </c>
    </row>
    <row r="95" ht="33.75" customHeight="1" s="31">
      <c r="A95" s="47" t="n"/>
      <c r="B95" s="47" t="n"/>
      <c r="C95" s="47" t="n"/>
      <c r="D95" s="47" t="n"/>
      <c r="E95" s="47" t="n"/>
      <c r="F95" s="47" t="n"/>
      <c r="G95" s="47" t="n"/>
      <c r="H95" s="47" t="n"/>
      <c r="I95" s="47" t="n"/>
      <c r="J95" s="47" t="n"/>
      <c r="K95" s="47" t="n"/>
      <c r="L95" s="45">
        <f>IF($A95="","",IF(COUNTBLANK($B95:$C95)+COUNTBLANK($E95:$H95)&gt;0,"Faltan campos",IF(AND($C95="No funcional",$D95=""),"Falta categoría",IF($K95="","Falta definir si integra el MVP","Fila completa"))))</f>
        <v/>
      </c>
    </row>
    <row r="96" ht="33.75" customHeight="1" s="31">
      <c r="A96" s="46" t="n"/>
      <c r="B96" s="46" t="n"/>
      <c r="C96" s="46" t="n"/>
      <c r="D96" s="46" t="n"/>
      <c r="E96" s="46" t="n"/>
      <c r="F96" s="46" t="n"/>
      <c r="G96" s="46" t="n"/>
      <c r="H96" s="46" t="n"/>
      <c r="I96" s="46" t="n"/>
      <c r="J96" s="46" t="n"/>
      <c r="K96" s="46" t="n"/>
      <c r="L96" s="45">
        <f>IF($A96="","",IF(COUNTBLANK($B96:$C96)+COUNTBLANK($E96:$H96)&gt;0,"Faltan campos",IF(AND($C96="No funcional",$D96=""),"Falta categoría",IF($K96="","Falta definir si integra el MVP","Fila completa"))))</f>
        <v/>
      </c>
    </row>
    <row r="97" ht="33.75" customHeight="1" s="31">
      <c r="A97" s="47" t="n"/>
      <c r="B97" s="47" t="n"/>
      <c r="C97" s="47" t="n"/>
      <c r="D97" s="47" t="n"/>
      <c r="E97" s="47" t="n"/>
      <c r="F97" s="47" t="n"/>
      <c r="G97" s="47" t="n"/>
      <c r="H97" s="47" t="n"/>
      <c r="I97" s="47" t="n"/>
      <c r="J97" s="47" t="n"/>
      <c r="K97" s="47" t="n"/>
      <c r="L97" s="45">
        <f>IF($A97="","",IF(COUNTBLANK($B97:$C97)+COUNTBLANK($E97:$H97)&gt;0,"Faltan campos",IF(AND($C97="No funcional",$D97=""),"Falta categoría",IF($K97="","Falta definir si integra el MVP","Fila completa"))))</f>
        <v/>
      </c>
    </row>
    <row r="98" ht="33.75" customHeight="1" s="31">
      <c r="A98" s="46" t="n"/>
      <c r="B98" s="46" t="n"/>
      <c r="C98" s="46" t="n"/>
      <c r="D98" s="46" t="n"/>
      <c r="E98" s="46" t="n"/>
      <c r="F98" s="46" t="n"/>
      <c r="G98" s="46" t="n"/>
      <c r="H98" s="46" t="n"/>
      <c r="I98" s="46" t="n"/>
      <c r="J98" s="46" t="n"/>
      <c r="K98" s="46" t="n"/>
      <c r="L98" s="45">
        <f>IF($A98="","",IF(COUNTBLANK($B98:$C98)+COUNTBLANK($E98:$H98)&gt;0,"Faltan campos",IF(AND($C98="No funcional",$D98=""),"Falta categoría",IF($K98="","Falta definir si integra el MVP","Fila completa"))))</f>
        <v/>
      </c>
    </row>
    <row r="99" ht="33.75" customHeight="1" s="31">
      <c r="A99" s="47" t="n"/>
      <c r="B99" s="47" t="n"/>
      <c r="C99" s="47" t="n"/>
      <c r="D99" s="47" t="n"/>
      <c r="E99" s="47" t="n"/>
      <c r="F99" s="47" t="n"/>
      <c r="G99" s="47" t="n"/>
      <c r="H99" s="47" t="n"/>
      <c r="I99" s="47" t="n"/>
      <c r="J99" s="47" t="n"/>
      <c r="K99" s="47" t="n"/>
      <c r="L99" s="45">
        <f>IF($A99="","",IF(COUNTBLANK($B99:$C99)+COUNTBLANK($E99:$H99)&gt;0,"Faltan campos",IF(AND($C99="No funcional",$D99=""),"Falta categoría",IF($K99="","Falta definir si integra el MVP","Fila completa"))))</f>
        <v/>
      </c>
    </row>
    <row r="100" ht="33.75" customHeight="1" s="31">
      <c r="A100" s="46" t="n"/>
      <c r="B100" s="46" t="n"/>
      <c r="C100" s="46" t="n"/>
      <c r="D100" s="46" t="n"/>
      <c r="E100" s="46" t="n"/>
      <c r="F100" s="46" t="n"/>
      <c r="G100" s="46" t="n"/>
      <c r="H100" s="46" t="n"/>
      <c r="I100" s="46" t="n"/>
      <c r="J100" s="46" t="n"/>
      <c r="K100" s="46" t="n"/>
      <c r="L100" s="45">
        <f>IF($A100="","",IF(COUNTBLANK($B100:$C100)+COUNTBLANK($E100:$H100)&gt;0,"Faltan campos",IF(AND($C100="No funcional",$D100=""),"Falta categoría",IF($K100="","Falta definir si integra el MVP","Fila completa"))))</f>
        <v/>
      </c>
    </row>
    <row r="101" ht="33.75" customHeight="1" s="31">
      <c r="A101" s="47" t="n"/>
      <c r="B101" s="47" t="n"/>
      <c r="C101" s="47" t="n"/>
      <c r="D101" s="47" t="n"/>
      <c r="E101" s="47" t="n"/>
      <c r="F101" s="47" t="n"/>
      <c r="G101" s="47" t="n"/>
      <c r="H101" s="47" t="n"/>
      <c r="I101" s="47" t="n"/>
      <c r="J101" s="47" t="n"/>
      <c r="K101" s="47" t="n"/>
      <c r="L101" s="45">
        <f>IF($A101="","",IF(COUNTBLANK($B101:$C101)+COUNTBLANK($E101:$H101)&gt;0,"Faltan campos",IF(AND($C101="No funcional",$D101=""),"Falta categoría",IF($K101="","Falta definir si integra el MVP","Fila completa"))))</f>
        <v/>
      </c>
    </row>
    <row r="102" ht="33.75" customHeight="1" s="31">
      <c r="A102" s="46" t="n"/>
      <c r="B102" s="46" t="n"/>
      <c r="C102" s="46" t="n"/>
      <c r="D102" s="46" t="n"/>
      <c r="E102" s="46" t="n"/>
      <c r="F102" s="46" t="n"/>
      <c r="G102" s="46" t="n"/>
      <c r="H102" s="46" t="n"/>
      <c r="I102" s="46" t="n"/>
      <c r="J102" s="46" t="n"/>
      <c r="K102" s="46" t="n"/>
      <c r="L102" s="45">
        <f>IF($A102="","",IF(COUNTBLANK($B102:$C102)+COUNTBLANK($E102:$H102)&gt;0,"Faltan campos",IF(AND($C102="No funcional",$D102=""),"Falta categoría",IF($K102="","Falta definir si integra el MVP","Fila completa"))))</f>
        <v/>
      </c>
    </row>
    <row r="103" ht="33.75" customHeight="1" s="31">
      <c r="A103" s="47" t="n"/>
      <c r="B103" s="47" t="n"/>
      <c r="C103" s="47" t="n"/>
      <c r="D103" s="47" t="n"/>
      <c r="E103" s="47" t="n"/>
      <c r="F103" s="47" t="n"/>
      <c r="G103" s="47" t="n"/>
      <c r="H103" s="47" t="n"/>
      <c r="I103" s="47" t="n"/>
      <c r="J103" s="47" t="n"/>
      <c r="K103" s="47" t="n"/>
      <c r="L103" s="45">
        <f>IF($A103="","",IF(COUNTBLANK($B103:$C103)+COUNTBLANK($E103:$H103)&gt;0,"Faltan campos",IF(AND($C103="No funcional",$D103=""),"Falta categoría",IF($K103="","Falta definir si integra el MVP","Fila completa"))))</f>
        <v/>
      </c>
    </row>
    <row r="104" ht="33.75" customHeight="1" s="31">
      <c r="A104" s="46" t="n"/>
      <c r="B104" s="46" t="n"/>
      <c r="C104" s="46" t="n"/>
      <c r="D104" s="46" t="n"/>
      <c r="E104" s="46" t="n"/>
      <c r="F104" s="46" t="n"/>
      <c r="G104" s="46" t="n"/>
      <c r="H104" s="46" t="n"/>
      <c r="I104" s="46" t="n"/>
      <c r="J104" s="46" t="n"/>
      <c r="K104" s="46" t="n"/>
      <c r="L104" s="45">
        <f>IF($A104="","",IF(COUNTBLANK($B104:$C104)+COUNTBLANK($E104:$H104)&gt;0,"Faltan campos",IF(AND($C104="No funcional",$D104=""),"Falta categoría",IF($K104="","Falta definir si integra el MVP","Fila completa"))))</f>
        <v/>
      </c>
    </row>
    <row r="105" ht="33.75" customHeight="1" s="31">
      <c r="A105" s="47" t="n"/>
      <c r="B105" s="47" t="n"/>
      <c r="C105" s="47" t="n"/>
      <c r="D105" s="47" t="n"/>
      <c r="E105" s="47" t="n"/>
      <c r="F105" s="47" t="n"/>
      <c r="G105" s="47" t="n"/>
      <c r="H105" s="47" t="n"/>
      <c r="I105" s="47" t="n"/>
      <c r="J105" s="47" t="n"/>
      <c r="K105" s="47" t="n"/>
      <c r="L105" s="45">
        <f>IF($A105="","",IF(COUNTBLANK($B105:$C105)+COUNTBLANK($E105:$H105)&gt;0,"Faltan campos",IF(AND($C105="No funcional",$D105=""),"Falta categoría",IF($K105="","Falta definir si integra el MVP","Fila completa"))))</f>
        <v/>
      </c>
    </row>
    <row r="106" ht="33.75" customHeight="1" s="31">
      <c r="A106" s="46" t="n"/>
      <c r="B106" s="46" t="n"/>
      <c r="C106" s="46" t="n"/>
      <c r="D106" s="46" t="n"/>
      <c r="E106" s="46" t="n"/>
      <c r="F106" s="46" t="n"/>
      <c r="G106" s="46" t="n"/>
      <c r="H106" s="46" t="n"/>
      <c r="I106" s="46" t="n"/>
      <c r="J106" s="46" t="n"/>
      <c r="K106" s="46" t="n"/>
      <c r="L106" s="45">
        <f>IF($A106="","",IF(COUNTBLANK($B106:$C106)+COUNTBLANK($E106:$H106)&gt;0,"Faltan campos",IF(AND($C106="No funcional",$D106=""),"Falta categoría",IF($K106="","Falta definir si integra el MVP","Fila completa"))))</f>
        <v/>
      </c>
    </row>
    <row r="107" ht="33.75" customHeight="1" s="31">
      <c r="A107" s="47" t="n"/>
      <c r="B107" s="47" t="n"/>
      <c r="C107" s="47" t="n"/>
      <c r="D107" s="47" t="n"/>
      <c r="E107" s="47" t="n"/>
      <c r="F107" s="47" t="n"/>
      <c r="G107" s="47" t="n"/>
      <c r="H107" s="47" t="n"/>
      <c r="I107" s="47" t="n"/>
      <c r="J107" s="47" t="n"/>
      <c r="K107" s="47" t="n"/>
      <c r="L107" s="45">
        <f>IF($A107="","",IF(COUNTBLANK($B107:$C107)+COUNTBLANK($E107:$H107)&gt;0,"Faltan campos",IF(AND($C107="No funcional",$D107=""),"Falta categoría",IF($K107="","Falta definir si integra el MVP","Fila completa"))))</f>
        <v/>
      </c>
    </row>
    <row r="108" ht="33.75" customHeight="1" s="31">
      <c r="A108" s="46" t="n"/>
      <c r="B108" s="46" t="n"/>
      <c r="C108" s="46" t="n"/>
      <c r="D108" s="46" t="n"/>
      <c r="E108" s="46" t="n"/>
      <c r="F108" s="46" t="n"/>
      <c r="G108" s="46" t="n"/>
      <c r="H108" s="46" t="n"/>
      <c r="I108" s="46" t="n"/>
      <c r="J108" s="46" t="n"/>
      <c r="K108" s="46" t="n"/>
      <c r="L108" s="45">
        <f>IF($A108="","",IF(COUNTBLANK($B108:$C108)+COUNTBLANK($E108:$H108)&gt;0,"Faltan campos",IF(AND($C108="No funcional",$D108=""),"Falta categoría",IF($K108="","Falta definir si integra el MVP","Fila completa"))))</f>
        <v/>
      </c>
    </row>
    <row r="109" ht="33.75" customHeight="1" s="31">
      <c r="A109" s="47" t="n"/>
      <c r="B109" s="47" t="n"/>
      <c r="C109" s="47" t="n"/>
      <c r="D109" s="47" t="n"/>
      <c r="E109" s="47" t="n"/>
      <c r="F109" s="47" t="n"/>
      <c r="G109" s="47" t="n"/>
      <c r="H109" s="47" t="n"/>
      <c r="I109" s="47" t="n"/>
      <c r="J109" s="47" t="n"/>
      <c r="K109" s="47" t="n"/>
      <c r="L109" s="45">
        <f>IF($A109="","",IF(COUNTBLANK($B109:$C109)+COUNTBLANK($E109:$H109)&gt;0,"Faltan campos",IF(AND($C109="No funcional",$D109=""),"Falta categoría",IF($K109="","Falta definir si integra el MVP","Fila completa"))))</f>
        <v/>
      </c>
    </row>
    <row r="110" ht="33.75" customHeight="1" s="31">
      <c r="A110" s="46" t="n"/>
      <c r="B110" s="46" t="n"/>
      <c r="C110" s="46" t="n"/>
      <c r="D110" s="46" t="n"/>
      <c r="E110" s="46" t="n"/>
      <c r="F110" s="46" t="n"/>
      <c r="G110" s="46" t="n"/>
      <c r="H110" s="46" t="n"/>
      <c r="I110" s="46" t="n"/>
      <c r="J110" s="46" t="n"/>
      <c r="K110" s="46" t="n"/>
      <c r="L110" s="45">
        <f>IF($A110="","",IF(COUNTBLANK($B110:$C110)+COUNTBLANK($E110:$H110)&gt;0,"Faltan campos",IF(AND($C110="No funcional",$D110=""),"Falta categoría",IF($K110="","Falta definir si integra el MVP","Fila completa"))))</f>
        <v/>
      </c>
    </row>
    <row r="111" ht="33.75" customHeight="1" s="31">
      <c r="A111" s="47" t="n"/>
      <c r="B111" s="47" t="n"/>
      <c r="C111" s="47" t="n"/>
      <c r="D111" s="47" t="n"/>
      <c r="E111" s="47" t="n"/>
      <c r="F111" s="47" t="n"/>
      <c r="G111" s="47" t="n"/>
      <c r="H111" s="47" t="n"/>
      <c r="I111" s="47" t="n"/>
      <c r="J111" s="47" t="n"/>
      <c r="K111" s="47" t="n"/>
      <c r="L111" s="45">
        <f>IF($A111="","",IF(COUNTBLANK($B111:$C111)+COUNTBLANK($E111:$H111)&gt;0,"Faltan campos",IF(AND($C111="No funcional",$D111=""),"Falta categoría",IF($K111="","Falta definir si integra el MVP","Fila completa"))))</f>
        <v/>
      </c>
    </row>
    <row r="112" ht="33.75" customHeight="1" s="31">
      <c r="A112" s="46" t="n"/>
      <c r="B112" s="46" t="n"/>
      <c r="C112" s="46" t="n"/>
      <c r="D112" s="46" t="n"/>
      <c r="E112" s="46" t="n"/>
      <c r="F112" s="46" t="n"/>
      <c r="G112" s="46" t="n"/>
      <c r="H112" s="46" t="n"/>
      <c r="I112" s="46" t="n"/>
      <c r="J112" s="46" t="n"/>
      <c r="K112" s="46" t="n"/>
      <c r="L112" s="45">
        <f>IF($A112="","",IF(COUNTBLANK($B112:$C112)+COUNTBLANK($E112:$H112)&gt;0,"Faltan campos",IF(AND($C112="No funcional",$D112=""),"Falta categoría",IF($K112="","Falta definir si integra el MVP","Fila completa"))))</f>
        <v/>
      </c>
    </row>
    <row r="113" ht="33.75" customHeight="1" s="31">
      <c r="A113" s="47" t="n"/>
      <c r="B113" s="47" t="n"/>
      <c r="C113" s="47" t="n"/>
      <c r="D113" s="47" t="n"/>
      <c r="E113" s="47" t="n"/>
      <c r="F113" s="47" t="n"/>
      <c r="G113" s="47" t="n"/>
      <c r="H113" s="47" t="n"/>
      <c r="I113" s="47" t="n"/>
      <c r="J113" s="47" t="n"/>
      <c r="K113" s="47" t="n"/>
      <c r="L113" s="45">
        <f>IF($A113="","",IF(COUNTBLANK($B113:$C113)+COUNTBLANK($E113:$H113)&gt;0,"Faltan campos",IF(AND($C113="No funcional",$D113=""),"Falta categoría",IF($K113="","Falta definir si integra el MVP","Fila completa"))))</f>
        <v/>
      </c>
    </row>
    <row r="114" ht="33.75" customHeight="1" s="31">
      <c r="A114" s="46" t="n"/>
      <c r="B114" s="46" t="n"/>
      <c r="C114" s="46" t="n"/>
      <c r="D114" s="46" t="n"/>
      <c r="E114" s="46" t="n"/>
      <c r="F114" s="46" t="n"/>
      <c r="G114" s="46" t="n"/>
      <c r="H114" s="46" t="n"/>
      <c r="I114" s="46" t="n"/>
      <c r="J114" s="46" t="n"/>
      <c r="K114" s="46" t="n"/>
      <c r="L114" s="45">
        <f>IF($A114="","",IF(COUNTBLANK($B114:$C114)+COUNTBLANK($E114:$H114)&gt;0,"Faltan campos",IF(AND($C114="No funcional",$D114=""),"Falta categoría",IF($K114="","Falta definir si integra el MVP","Fila completa"))))</f>
        <v/>
      </c>
    </row>
    <row r="115" ht="33.75" customHeight="1" s="31">
      <c r="A115" s="47" t="n"/>
      <c r="B115" s="47" t="n"/>
      <c r="C115" s="47" t="n"/>
      <c r="D115" s="47" t="n"/>
      <c r="E115" s="47" t="n"/>
      <c r="F115" s="47" t="n"/>
      <c r="G115" s="47" t="n"/>
      <c r="H115" s="47" t="n"/>
      <c r="I115" s="47" t="n"/>
      <c r="J115" s="47" t="n"/>
      <c r="K115" s="47" t="n"/>
      <c r="L115" s="45">
        <f>IF($A115="","",IF(COUNTBLANK($B115:$C115)+COUNTBLANK($E115:$H115)&gt;0,"Faltan campos",IF(AND($C115="No funcional",$D115=""),"Falta categoría",IF($K115="","Falta definir si integra el MVP","Fila completa"))))</f>
        <v/>
      </c>
    </row>
    <row r="116" ht="33.75" customHeight="1" s="31">
      <c r="A116" s="46" t="n"/>
      <c r="B116" s="46" t="n"/>
      <c r="C116" s="46" t="n"/>
      <c r="D116" s="46" t="n"/>
      <c r="E116" s="46" t="n"/>
      <c r="F116" s="46" t="n"/>
      <c r="G116" s="46" t="n"/>
      <c r="H116" s="46" t="n"/>
      <c r="I116" s="46" t="n"/>
      <c r="J116" s="46" t="n"/>
      <c r="K116" s="46" t="n"/>
      <c r="L116" s="45">
        <f>IF($A116="","",IF(COUNTBLANK($B116:$C116)+COUNTBLANK($E116:$H116)&gt;0,"Faltan campos",IF(AND($C116="No funcional",$D116=""),"Falta categoría",IF($K116="","Falta definir si integra el MVP","Fila completa"))))</f>
        <v/>
      </c>
    </row>
    <row r="117" ht="33.75" customHeight="1" s="31">
      <c r="A117" s="47" t="n"/>
      <c r="B117" s="47" t="n"/>
      <c r="C117" s="47" t="n"/>
      <c r="D117" s="47" t="n"/>
      <c r="E117" s="47" t="n"/>
      <c r="F117" s="47" t="n"/>
      <c r="G117" s="47" t="n"/>
      <c r="H117" s="47" t="n"/>
      <c r="I117" s="47" t="n"/>
      <c r="J117" s="47" t="n"/>
      <c r="K117" s="47" t="n"/>
      <c r="L117" s="45">
        <f>IF($A117="","",IF(COUNTBLANK($B117:$C117)+COUNTBLANK($E117:$H117)&gt;0,"Faltan campos",IF(AND($C117="No funcional",$D117=""),"Falta categoría",IF($K117="","Falta definir si integra el MVP","Fila completa"))))</f>
        <v/>
      </c>
    </row>
    <row r="118" ht="33.75" customHeight="1" s="31">
      <c r="A118" s="46" t="n"/>
      <c r="B118" s="46" t="n"/>
      <c r="C118" s="46" t="n"/>
      <c r="D118" s="46" t="n"/>
      <c r="E118" s="46" t="n"/>
      <c r="F118" s="46" t="n"/>
      <c r="G118" s="46" t="n"/>
      <c r="H118" s="46" t="n"/>
      <c r="I118" s="46" t="n"/>
      <c r="J118" s="46" t="n"/>
      <c r="K118" s="46" t="n"/>
      <c r="L118" s="45">
        <f>IF($A118="","",IF(COUNTBLANK($B118:$C118)+COUNTBLANK($E118:$H118)&gt;0,"Faltan campos",IF(AND($C118="No funcional",$D118=""),"Falta categoría",IF($K118="","Falta definir si integra el MVP","Fila completa"))))</f>
        <v/>
      </c>
    </row>
    <row r="119" ht="33.75" customHeight="1" s="31">
      <c r="A119" s="47" t="n"/>
      <c r="B119" s="47" t="n"/>
      <c r="C119" s="47" t="n"/>
      <c r="D119" s="47" t="n"/>
      <c r="E119" s="47" t="n"/>
      <c r="F119" s="47" t="n"/>
      <c r="G119" s="47" t="n"/>
      <c r="H119" s="47" t="n"/>
      <c r="I119" s="47" t="n"/>
      <c r="J119" s="47" t="n"/>
      <c r="K119" s="47" t="n"/>
      <c r="L119" s="45">
        <f>IF($A119="","",IF(COUNTBLANK($B119:$C119)+COUNTBLANK($E119:$H119)&gt;0,"Faltan campos",IF(AND($C119="No funcional",$D119=""),"Falta categoría",IF($K119="","Falta definir si integra el MVP","Fila completa"))))</f>
        <v/>
      </c>
    </row>
    <row r="120" ht="33.75" customHeight="1" s="31">
      <c r="A120" s="46" t="n"/>
      <c r="B120" s="46" t="n"/>
      <c r="C120" s="46" t="n"/>
      <c r="D120" s="46" t="n"/>
      <c r="E120" s="46" t="n"/>
      <c r="F120" s="46" t="n"/>
      <c r="G120" s="46" t="n"/>
      <c r="H120" s="46" t="n"/>
      <c r="I120" s="46" t="n"/>
      <c r="J120" s="46" t="n"/>
      <c r="K120" s="46" t="n"/>
      <c r="L120" s="45">
        <f>IF($A120="","",IF(COUNTBLANK($B120:$C120)+COUNTBLANK($E120:$H120)&gt;0,"Faltan campos",IF(AND($C120="No funcional",$D120=""),"Falta categoría",IF($K120="","Falta definir si integra el MVP","Fila completa"))))</f>
        <v/>
      </c>
    </row>
    <row r="121" ht="33.75" customHeight="1" s="31">
      <c r="A121" s="47" t="n"/>
      <c r="B121" s="47" t="n"/>
      <c r="C121" s="47" t="n"/>
      <c r="D121" s="47" t="n"/>
      <c r="E121" s="47" t="n"/>
      <c r="F121" s="47" t="n"/>
      <c r="G121" s="47" t="n"/>
      <c r="H121" s="47" t="n"/>
      <c r="I121" s="47" t="n"/>
      <c r="J121" s="47" t="n"/>
      <c r="K121" s="47" t="n"/>
      <c r="L121" s="45">
        <f>IF($A121="","",IF(COUNTBLANK($B121:$C121)+COUNTBLANK($E121:$H121)&gt;0,"Faltan campos",IF(AND($C121="No funcional",$D121=""),"Falta categoría",IF($K121="","Falta definir si integra el MVP","Fila completa"))))</f>
        <v/>
      </c>
    </row>
    <row r="122" ht="33.75" customHeight="1" s="31">
      <c r="A122" s="46" t="n"/>
      <c r="B122" s="46" t="n"/>
      <c r="C122" s="46" t="n"/>
      <c r="D122" s="46" t="n"/>
      <c r="E122" s="46" t="n"/>
      <c r="F122" s="46" t="n"/>
      <c r="G122" s="46" t="n"/>
      <c r="H122" s="46" t="n"/>
      <c r="I122" s="46" t="n"/>
      <c r="J122" s="46" t="n"/>
      <c r="K122" s="46" t="n"/>
      <c r="L122" s="45">
        <f>IF($A122="","",IF(COUNTBLANK($B122:$C122)+COUNTBLANK($E122:$H122)&gt;0,"Faltan campos",IF(AND($C122="No funcional",$D122=""),"Falta categoría",IF($K122="","Falta definir si integra el MVP","Fila completa"))))</f>
        <v/>
      </c>
    </row>
    <row r="123" ht="33.75" customHeight="1" s="31">
      <c r="A123" s="47" t="n"/>
      <c r="B123" s="47" t="n"/>
      <c r="C123" s="47" t="n"/>
      <c r="D123" s="47" t="n"/>
      <c r="E123" s="47" t="n"/>
      <c r="F123" s="47" t="n"/>
      <c r="G123" s="47" t="n"/>
      <c r="H123" s="47" t="n"/>
      <c r="I123" s="47" t="n"/>
      <c r="J123" s="47" t="n"/>
      <c r="K123" s="47" t="n"/>
      <c r="L123" s="45">
        <f>IF($A123="","",IF(COUNTBLANK($B123:$C123)+COUNTBLANK($E123:$H123)&gt;0,"Faltan campos",IF(AND($C123="No funcional",$D123=""),"Falta categoría",IF($K123="","Falta definir si integra el MVP","Fila completa"))))</f>
        <v/>
      </c>
    </row>
    <row r="124" ht="33.75" customHeight="1" s="31">
      <c r="A124" s="46" t="n"/>
      <c r="B124" s="46" t="n"/>
      <c r="C124" s="46" t="n"/>
      <c r="D124" s="46" t="n"/>
      <c r="E124" s="46" t="n"/>
      <c r="F124" s="46" t="n"/>
      <c r="G124" s="46" t="n"/>
      <c r="H124" s="46" t="n"/>
      <c r="I124" s="46" t="n"/>
      <c r="J124" s="46" t="n"/>
      <c r="K124" s="46" t="n"/>
      <c r="L124" s="45">
        <f>IF($A124="","",IF(COUNTBLANK($B124:$C124)+COUNTBLANK($E124:$H124)&gt;0,"Faltan campos",IF(AND($C124="No funcional",$D124=""),"Falta categoría",IF($K124="","Falta definir si integra el MVP","Fila completa"))))</f>
        <v/>
      </c>
    </row>
    <row r="125" ht="33.75" customHeight="1" s="31">
      <c r="A125" s="47" t="n"/>
      <c r="B125" s="47" t="n"/>
      <c r="C125" s="47" t="n"/>
      <c r="D125" s="47" t="n"/>
      <c r="E125" s="47" t="n"/>
      <c r="F125" s="47" t="n"/>
      <c r="G125" s="47" t="n"/>
      <c r="H125" s="47" t="n"/>
      <c r="I125" s="47" t="n"/>
      <c r="J125" s="47" t="n"/>
      <c r="K125" s="47" t="n"/>
      <c r="L125" s="45">
        <f>IF($A125="","",IF(COUNTBLANK($B125:$C125)+COUNTBLANK($E125:$H125)&gt;0,"Faltan campos",IF(AND($C125="No funcional",$D125=""),"Falta categoría",IF($K125="","Falta definir si integra el MVP","Fila completa"))))</f>
        <v/>
      </c>
    </row>
    <row r="126" ht="33.75" customHeight="1" s="31">
      <c r="A126" s="46" t="n"/>
      <c r="B126" s="46" t="n"/>
      <c r="C126" s="46" t="n"/>
      <c r="D126" s="46" t="n"/>
      <c r="E126" s="46" t="n"/>
      <c r="F126" s="46" t="n"/>
      <c r="G126" s="46" t="n"/>
      <c r="H126" s="46" t="n"/>
      <c r="I126" s="46" t="n"/>
      <c r="J126" s="46" t="n"/>
      <c r="K126" s="46" t="n"/>
      <c r="L126" s="45">
        <f>IF($A126="","",IF(COUNTBLANK($B126:$C126)+COUNTBLANK($E126:$H126)&gt;0,"Faltan campos",IF(AND($C126="No funcional",$D126=""),"Falta categoría",IF($K126="","Falta definir si integra el MVP","Fila completa"))))</f>
        <v/>
      </c>
    </row>
    <row r="127" ht="33.75" customHeight="1" s="31">
      <c r="A127" s="47" t="n"/>
      <c r="B127" s="47" t="n"/>
      <c r="C127" s="47" t="n"/>
      <c r="D127" s="47" t="n"/>
      <c r="E127" s="47" t="n"/>
      <c r="F127" s="47" t="n"/>
      <c r="G127" s="47" t="n"/>
      <c r="H127" s="47" t="n"/>
      <c r="I127" s="47" t="n"/>
      <c r="J127" s="47" t="n"/>
      <c r="K127" s="47" t="n"/>
      <c r="L127" s="45">
        <f>IF($A127="","",IF(COUNTBLANK($B127:$C127)+COUNTBLANK($E127:$H127)&gt;0,"Faltan campos",IF(AND($C127="No funcional",$D127=""),"Falta categoría",IF($K127="","Falta definir si integra el MVP","Fila completa"))))</f>
        <v/>
      </c>
    </row>
    <row r="128" ht="33.75" customHeight="1" s="31">
      <c r="A128" s="46" t="n"/>
      <c r="B128" s="46" t="n"/>
      <c r="C128" s="46" t="n"/>
      <c r="D128" s="46" t="n"/>
      <c r="E128" s="46" t="n"/>
      <c r="F128" s="46" t="n"/>
      <c r="G128" s="46" t="n"/>
      <c r="H128" s="46" t="n"/>
      <c r="I128" s="46" t="n"/>
      <c r="J128" s="46" t="n"/>
      <c r="K128" s="46" t="n"/>
      <c r="L128" s="45">
        <f>IF($A128="","",IF(COUNTBLANK($B128:$C128)+COUNTBLANK($E128:$H128)&gt;0,"Faltan campos",IF(AND($C128="No funcional",$D128=""),"Falta categoría",IF($K128="","Falta definir si integra el MVP","Fila completa"))))</f>
        <v/>
      </c>
    </row>
    <row r="129" ht="33.75" customHeight="1" s="31">
      <c r="A129" s="47" t="n"/>
      <c r="B129" s="47" t="n"/>
      <c r="C129" s="47" t="n"/>
      <c r="D129" s="47" t="n"/>
      <c r="E129" s="47" t="n"/>
      <c r="F129" s="47" t="n"/>
      <c r="G129" s="47" t="n"/>
      <c r="H129" s="47" t="n"/>
      <c r="I129" s="47" t="n"/>
      <c r="J129" s="47" t="n"/>
      <c r="K129" s="47" t="n"/>
      <c r="L129" s="45">
        <f>IF($A129="","",IF(COUNTBLANK($B129:$C129)+COUNTBLANK($E129:$H129)&gt;0,"Faltan campos",IF(AND($C129="No funcional",$D129=""),"Falta categoría",IF($K129="","Falta definir si integra el MVP","Fila completa"))))</f>
        <v/>
      </c>
    </row>
    <row r="130" ht="33.75" customHeight="1" s="31">
      <c r="A130" s="46" t="n"/>
      <c r="B130" s="46" t="n"/>
      <c r="C130" s="46" t="n"/>
      <c r="D130" s="46" t="n"/>
      <c r="E130" s="46" t="n"/>
      <c r="F130" s="46" t="n"/>
      <c r="G130" s="46" t="n"/>
      <c r="H130" s="46" t="n"/>
      <c r="I130" s="46" t="n"/>
      <c r="J130" s="46" t="n"/>
      <c r="K130" s="46" t="n"/>
      <c r="L130" s="45">
        <f>IF($A130="","",IF(COUNTBLANK($B130:$C130)+COUNTBLANK($E130:$H130)&gt;0,"Faltan campos",IF(AND($C130="No funcional",$D130=""),"Falta categoría",IF($K130="","Falta definir si integra el MVP","Fila completa"))))</f>
        <v/>
      </c>
    </row>
    <row r="131" ht="33.75" customHeight="1" s="31">
      <c r="A131" s="47" t="n"/>
      <c r="B131" s="47" t="n"/>
      <c r="C131" s="47" t="n"/>
      <c r="D131" s="47" t="n"/>
      <c r="E131" s="47" t="n"/>
      <c r="F131" s="47" t="n"/>
      <c r="G131" s="47" t="n"/>
      <c r="H131" s="47" t="n"/>
      <c r="I131" s="47" t="n"/>
      <c r="J131" s="47" t="n"/>
      <c r="K131" s="47" t="n"/>
      <c r="L131" s="45">
        <f>IF($A131="","",IF(COUNTBLANK($B131:$C131)+COUNTBLANK($E131:$H131)&gt;0,"Faltan campos",IF(AND($C131="No funcional",$D131=""),"Falta categoría",IF($K131="","Falta definir si integra el MVP","Fila completa"))))</f>
        <v/>
      </c>
    </row>
    <row r="132" ht="33.75" customHeight="1" s="31">
      <c r="A132" s="46" t="n"/>
      <c r="B132" s="46" t="n"/>
      <c r="C132" s="46" t="n"/>
      <c r="D132" s="46" t="n"/>
      <c r="E132" s="46" t="n"/>
      <c r="F132" s="46" t="n"/>
      <c r="G132" s="46" t="n"/>
      <c r="H132" s="46" t="n"/>
      <c r="I132" s="46" t="n"/>
      <c r="J132" s="46" t="n"/>
      <c r="K132" s="46" t="n"/>
      <c r="L132" s="45">
        <f>IF($A132="","",IF(COUNTBLANK($B132:$C132)+COUNTBLANK($E132:$H132)&gt;0,"Faltan campos",IF(AND($C132="No funcional",$D132=""),"Falta categoría",IF($K132="","Falta definir si integra el MVP","Fila completa"))))</f>
        <v/>
      </c>
    </row>
    <row r="133" ht="33.75" customHeight="1" s="31">
      <c r="A133" s="47" t="n"/>
      <c r="B133" s="47" t="n"/>
      <c r="C133" s="47" t="n"/>
      <c r="D133" s="47" t="n"/>
      <c r="E133" s="47" t="n"/>
      <c r="F133" s="47" t="n"/>
      <c r="G133" s="47" t="n"/>
      <c r="H133" s="47" t="n"/>
      <c r="I133" s="47" t="n"/>
      <c r="J133" s="47" t="n"/>
      <c r="K133" s="47" t="n"/>
      <c r="L133" s="45">
        <f>IF($A133="","",IF(COUNTBLANK($B133:$C133)+COUNTBLANK($E133:$H133)&gt;0,"Faltan campos",IF(AND($C133="No funcional",$D133=""),"Falta categoría",IF($K133="","Falta definir si integra el MVP","Fila completa"))))</f>
        <v/>
      </c>
    </row>
    <row r="134" ht="33.75" customHeight="1" s="31">
      <c r="A134" s="46" t="n"/>
      <c r="B134" s="46" t="n"/>
      <c r="C134" s="46" t="n"/>
      <c r="D134" s="46" t="n"/>
      <c r="E134" s="46" t="n"/>
      <c r="F134" s="46" t="n"/>
      <c r="G134" s="46" t="n"/>
      <c r="H134" s="46" t="n"/>
      <c r="I134" s="46" t="n"/>
      <c r="J134" s="46" t="n"/>
      <c r="K134" s="46" t="n"/>
      <c r="L134" s="45">
        <f>IF($A134="","",IF(COUNTBLANK($B134:$C134)+COUNTBLANK($E134:$H134)&gt;0,"Faltan campos",IF(AND($C134="No funcional",$D134=""),"Falta categoría",IF($K134="","Falta definir si integra el MVP","Fila completa"))))</f>
        <v/>
      </c>
    </row>
    <row r="135" ht="33.75" customHeight="1" s="31">
      <c r="A135" s="47" t="n"/>
      <c r="B135" s="47" t="n"/>
      <c r="C135" s="47" t="n"/>
      <c r="D135" s="47" t="n"/>
      <c r="E135" s="47" t="n"/>
      <c r="F135" s="47" t="n"/>
      <c r="G135" s="47" t="n"/>
      <c r="H135" s="47" t="n"/>
      <c r="I135" s="47" t="n"/>
      <c r="J135" s="47" t="n"/>
      <c r="K135" s="47" t="n"/>
      <c r="L135" s="45">
        <f>IF($A135="","",IF(COUNTBLANK($B135:$C135)+COUNTBLANK($E135:$H135)&gt;0,"Faltan campos",IF(AND($C135="No funcional",$D135=""),"Falta categoría",IF($K135="","Falta definir si integra el MVP","Fila completa"))))</f>
        <v/>
      </c>
    </row>
    <row r="136" ht="33.75" customHeight="1" s="31">
      <c r="A136" s="46" t="n"/>
      <c r="B136" s="46" t="n"/>
      <c r="C136" s="46" t="n"/>
      <c r="D136" s="46" t="n"/>
      <c r="E136" s="46" t="n"/>
      <c r="F136" s="46" t="n"/>
      <c r="G136" s="46" t="n"/>
      <c r="H136" s="46" t="n"/>
      <c r="I136" s="46" t="n"/>
      <c r="J136" s="46" t="n"/>
      <c r="K136" s="46" t="n"/>
      <c r="L136" s="45">
        <f>IF($A136="","",IF(COUNTBLANK($B136:$C136)+COUNTBLANK($E136:$H136)&gt;0,"Faltan campos",IF(AND($C136="No funcional",$D136=""),"Falta categoría",IF($K136="","Falta definir si integra el MVP","Fila completa"))))</f>
        <v/>
      </c>
    </row>
    <row r="137" ht="33.75" customHeight="1" s="31">
      <c r="A137" s="47" t="n"/>
      <c r="B137" s="47" t="n"/>
      <c r="C137" s="47" t="n"/>
      <c r="D137" s="47" t="n"/>
      <c r="E137" s="47" t="n"/>
      <c r="F137" s="47" t="n"/>
      <c r="G137" s="47" t="n"/>
      <c r="H137" s="47" t="n"/>
      <c r="I137" s="47" t="n"/>
      <c r="J137" s="47" t="n"/>
      <c r="K137" s="47" t="n"/>
      <c r="L137" s="45">
        <f>IF($A137="","",IF(COUNTBLANK($B137:$C137)+COUNTBLANK($E137:$H137)&gt;0,"Faltan campos",IF(AND($C137="No funcional",$D137=""),"Falta categoría",IF($K137="","Falta definir si integra el MVP","Fila completa"))))</f>
        <v/>
      </c>
    </row>
    <row r="138" ht="33.75" customHeight="1" s="31">
      <c r="A138" s="46" t="n"/>
      <c r="B138" s="46" t="n"/>
      <c r="C138" s="46" t="n"/>
      <c r="D138" s="46" t="n"/>
      <c r="E138" s="46" t="n"/>
      <c r="F138" s="46" t="n"/>
      <c r="G138" s="46" t="n"/>
      <c r="H138" s="46" t="n"/>
      <c r="I138" s="46" t="n"/>
      <c r="J138" s="46" t="n"/>
      <c r="K138" s="46" t="n"/>
      <c r="L138" s="45">
        <f>IF($A138="","",IF(COUNTBLANK($B138:$C138)+COUNTBLANK($E138:$H138)&gt;0,"Faltan campos",IF(AND($C138="No funcional",$D138=""),"Falta categoría",IF($K138="","Falta definir si integra el MVP","Fila completa"))))</f>
        <v/>
      </c>
    </row>
    <row r="139" ht="33.75" customHeight="1" s="31">
      <c r="A139" s="47" t="n"/>
      <c r="B139" s="47" t="n"/>
      <c r="C139" s="47" t="n"/>
      <c r="D139" s="47" t="n"/>
      <c r="E139" s="47" t="n"/>
      <c r="F139" s="47" t="n"/>
      <c r="G139" s="47" t="n"/>
      <c r="H139" s="47" t="n"/>
      <c r="I139" s="47" t="n"/>
      <c r="J139" s="47" t="n"/>
      <c r="K139" s="47" t="n"/>
      <c r="L139" s="45">
        <f>IF($A139="","",IF(COUNTBLANK($B139:$C139)+COUNTBLANK($E139:$H139)&gt;0,"Faltan campos",IF(AND($C139="No funcional",$D139=""),"Falta categoría",IF($K139="","Falta definir si integra el MVP","Fila completa"))))</f>
        <v/>
      </c>
    </row>
    <row r="140" ht="33.75" customHeight="1" s="31">
      <c r="A140" s="46" t="n"/>
      <c r="B140" s="46" t="n"/>
      <c r="C140" s="46" t="n"/>
      <c r="D140" s="46" t="n"/>
      <c r="E140" s="46" t="n"/>
      <c r="F140" s="46" t="n"/>
      <c r="G140" s="46" t="n"/>
      <c r="H140" s="46" t="n"/>
      <c r="I140" s="46" t="n"/>
      <c r="J140" s="46" t="n"/>
      <c r="K140" s="46" t="n"/>
      <c r="L140" s="45">
        <f>IF($A140="","",IF(COUNTBLANK($B140:$C140)+COUNTBLANK($E140:$H140)&gt;0,"Faltan campos",IF(AND($C140="No funcional",$D140=""),"Falta categoría",IF($K140="","Falta definir si integra el MVP","Fila completa"))))</f>
        <v/>
      </c>
    </row>
    <row r="141" ht="33.75" customHeight="1" s="31">
      <c r="A141" s="47" t="n"/>
      <c r="B141" s="47" t="n"/>
      <c r="C141" s="47" t="n"/>
      <c r="D141" s="47" t="n"/>
      <c r="E141" s="47" t="n"/>
      <c r="F141" s="47" t="n"/>
      <c r="G141" s="47" t="n"/>
      <c r="H141" s="47" t="n"/>
      <c r="I141" s="47" t="n"/>
      <c r="J141" s="47" t="n"/>
      <c r="K141" s="47" t="n"/>
      <c r="L141" s="45">
        <f>IF($A141="","",IF(COUNTBLANK($B141:$C141)+COUNTBLANK($E141:$H141)&gt;0,"Faltan campos",IF(AND($C141="No funcional",$D141=""),"Falta categoría",IF($K141="","Falta definir si integra el MVP","Fila completa"))))</f>
        <v/>
      </c>
    </row>
    <row r="142" ht="33.75" customHeight="1" s="31">
      <c r="A142" s="46" t="n"/>
      <c r="B142" s="46" t="n"/>
      <c r="C142" s="46" t="n"/>
      <c r="D142" s="46" t="n"/>
      <c r="E142" s="46" t="n"/>
      <c r="F142" s="46" t="n"/>
      <c r="G142" s="46" t="n"/>
      <c r="H142" s="46" t="n"/>
      <c r="I142" s="46" t="n"/>
      <c r="J142" s="46" t="n"/>
      <c r="K142" s="46" t="n"/>
      <c r="L142" s="45">
        <f>IF($A142="","",IF(COUNTBLANK($B142:$C142)+COUNTBLANK($E142:$H142)&gt;0,"Faltan campos",IF(AND($C142="No funcional",$D142=""),"Falta categoría",IF($K142="","Falta definir si integra el MVP","Fila completa"))))</f>
        <v/>
      </c>
    </row>
    <row r="143" ht="33.75" customHeight="1" s="31">
      <c r="A143" s="47" t="n"/>
      <c r="B143" s="47" t="n"/>
      <c r="C143" s="47" t="n"/>
      <c r="D143" s="47" t="n"/>
      <c r="E143" s="47" t="n"/>
      <c r="F143" s="47" t="n"/>
      <c r="G143" s="47" t="n"/>
      <c r="H143" s="47" t="n"/>
      <c r="I143" s="47" t="n"/>
      <c r="J143" s="47" t="n"/>
      <c r="K143" s="47" t="n"/>
      <c r="L143" s="45">
        <f>IF($A143="","",IF(COUNTBLANK($B143:$C143)+COUNTBLANK($E143:$H143)&gt;0,"Faltan campos",IF(AND($C143="No funcional",$D143=""),"Falta categoría",IF($K143="","Falta definir si integra el MVP","Fila completa"))))</f>
        <v/>
      </c>
    </row>
    <row r="144" ht="33.75" customHeight="1" s="31">
      <c r="A144" s="46" t="n"/>
      <c r="B144" s="46" t="n"/>
      <c r="C144" s="46" t="n"/>
      <c r="D144" s="46" t="n"/>
      <c r="E144" s="46" t="n"/>
      <c r="F144" s="46" t="n"/>
      <c r="G144" s="46" t="n"/>
      <c r="H144" s="46" t="n"/>
      <c r="I144" s="46" t="n"/>
      <c r="J144" s="46" t="n"/>
      <c r="K144" s="46" t="n"/>
      <c r="L144" s="45">
        <f>IF($A144="","",IF(COUNTBLANK($B144:$C144)+COUNTBLANK($E144:$H144)&gt;0,"Faltan campos",IF(AND($C144="No funcional",$D144=""),"Falta categoría",IF($K144="","Falta definir si integra el MVP","Fila completa"))))</f>
        <v/>
      </c>
    </row>
    <row r="145" ht="33.75" customHeight="1" s="31">
      <c r="A145" s="47" t="n"/>
      <c r="B145" s="47" t="n"/>
      <c r="C145" s="47" t="n"/>
      <c r="D145" s="47" t="n"/>
      <c r="E145" s="47" t="n"/>
      <c r="F145" s="47" t="n"/>
      <c r="G145" s="47" t="n"/>
      <c r="H145" s="47" t="n"/>
      <c r="I145" s="47" t="n"/>
      <c r="J145" s="47" t="n"/>
      <c r="K145" s="47" t="n"/>
      <c r="L145" s="45">
        <f>IF($A145="","",IF(COUNTBLANK($B145:$C145)+COUNTBLANK($E145:$H145)&gt;0,"Faltan campos",IF(AND($C145="No funcional",$D145=""),"Falta categoría",IF($K145="","Falta definir si integra el MVP","Fila completa"))))</f>
        <v/>
      </c>
    </row>
    <row r="146" ht="33.75" customHeight="1" s="31">
      <c r="A146" s="46" t="n"/>
      <c r="B146" s="46" t="n"/>
      <c r="C146" s="46" t="n"/>
      <c r="D146" s="46" t="n"/>
      <c r="E146" s="46" t="n"/>
      <c r="F146" s="46" t="n"/>
      <c r="G146" s="46" t="n"/>
      <c r="H146" s="46" t="n"/>
      <c r="I146" s="46" t="n"/>
      <c r="J146" s="46" t="n"/>
      <c r="K146" s="46" t="n"/>
      <c r="L146" s="45">
        <f>IF($A146="","",IF(COUNTBLANK($B146:$C146)+COUNTBLANK($E146:$H146)&gt;0,"Faltan campos",IF(AND($C146="No funcional",$D146=""),"Falta categoría",IF($K146="","Falta definir si integra el MVP","Fila completa"))))</f>
        <v/>
      </c>
    </row>
    <row r="147" ht="33.75" customHeight="1" s="31">
      <c r="A147" s="47" t="n"/>
      <c r="B147" s="47" t="n"/>
      <c r="C147" s="47" t="n"/>
      <c r="D147" s="47" t="n"/>
      <c r="E147" s="47" t="n"/>
      <c r="F147" s="47" t="n"/>
      <c r="G147" s="47" t="n"/>
      <c r="H147" s="47" t="n"/>
      <c r="I147" s="47" t="n"/>
      <c r="J147" s="47" t="n"/>
      <c r="K147" s="47" t="n"/>
      <c r="L147" s="45">
        <f>IF($A147="","",IF(COUNTBLANK($B147:$C147)+COUNTBLANK($E147:$H147)&gt;0,"Faltan campos",IF(AND($C147="No funcional",$D147=""),"Falta categoría",IF($K147="","Falta definir si integra el MVP","Fila completa"))))</f>
        <v/>
      </c>
    </row>
    <row r="148" ht="33.75" customHeight="1" s="31">
      <c r="A148" s="46" t="n"/>
      <c r="B148" s="46" t="n"/>
      <c r="C148" s="46" t="n"/>
      <c r="D148" s="46" t="n"/>
      <c r="E148" s="46" t="n"/>
      <c r="F148" s="46" t="n"/>
      <c r="G148" s="46" t="n"/>
      <c r="H148" s="46" t="n"/>
      <c r="I148" s="46" t="n"/>
      <c r="J148" s="46" t="n"/>
      <c r="K148" s="46" t="n"/>
      <c r="L148" s="45">
        <f>IF($A148="","",IF(COUNTBLANK($B148:$C148)+COUNTBLANK($E148:$H148)&gt;0,"Faltan campos",IF(AND($C148="No funcional",$D148=""),"Falta categoría",IF($K148="","Falta definir si integra el MVP","Fila completa"))))</f>
        <v/>
      </c>
    </row>
    <row r="149" ht="33.75" customHeight="1" s="31">
      <c r="A149" s="47" t="n"/>
      <c r="B149" s="47" t="n"/>
      <c r="C149" s="47" t="n"/>
      <c r="D149" s="47" t="n"/>
      <c r="E149" s="47" t="n"/>
      <c r="F149" s="47" t="n"/>
      <c r="G149" s="47" t="n"/>
      <c r="H149" s="47" t="n"/>
      <c r="I149" s="47" t="n"/>
      <c r="J149" s="47" t="n"/>
      <c r="K149" s="47" t="n"/>
      <c r="L149" s="45">
        <f>IF($A149="","",IF(COUNTBLANK($B149:$C149)+COUNTBLANK($E149:$H149)&gt;0,"Faltan campos",IF(AND($C149="No funcional",$D149=""),"Falta categoría",IF($K149="","Falta definir si integra el MVP","Fila completa"))))</f>
        <v/>
      </c>
    </row>
    <row r="150" ht="33.75" customHeight="1" s="31">
      <c r="A150" s="46" t="n"/>
      <c r="B150" s="46" t="n"/>
      <c r="C150" s="46" t="n"/>
      <c r="D150" s="46" t="n"/>
      <c r="E150" s="46" t="n"/>
      <c r="F150" s="46" t="n"/>
      <c r="G150" s="46" t="n"/>
      <c r="H150" s="46" t="n"/>
      <c r="I150" s="46" t="n"/>
      <c r="J150" s="46" t="n"/>
      <c r="K150" s="46" t="n"/>
      <c r="L150" s="45">
        <f>IF($A150="","",IF(COUNTBLANK($B150:$C150)+COUNTBLANK($E150:$H150)&gt;0,"Faltan campos",IF(AND($C150="No funcional",$D150=""),"Falta categoría",IF($K150="","Falta definir si integra el MVP","Fila completa"))))</f>
        <v/>
      </c>
    </row>
    <row r="151" ht="33.75" customHeight="1" s="31">
      <c r="A151" s="47" t="n"/>
      <c r="B151" s="47" t="n"/>
      <c r="C151" s="47" t="n"/>
      <c r="D151" s="47" t="n"/>
      <c r="E151" s="47" t="n"/>
      <c r="F151" s="47" t="n"/>
      <c r="G151" s="47" t="n"/>
      <c r="H151" s="47" t="n"/>
      <c r="I151" s="47" t="n"/>
      <c r="J151" s="47" t="n"/>
      <c r="K151" s="47" t="n"/>
      <c r="L151" s="45">
        <f>IF($A151="","",IF(COUNTBLANK($B151:$C151)+COUNTBLANK($E151:$H151)&gt;0,"Faltan campos",IF(AND($C151="No funcional",$D151=""),"Falta categoría",IF($K151="","Falta definir si integra el MVP","Fila completa"))))</f>
        <v/>
      </c>
    </row>
    <row r="152" ht="33.75" customHeight="1" s="31">
      <c r="A152" s="46" t="n"/>
      <c r="B152" s="46" t="n"/>
      <c r="C152" s="46" t="n"/>
      <c r="D152" s="46" t="n"/>
      <c r="E152" s="46" t="n"/>
      <c r="F152" s="46" t="n"/>
      <c r="G152" s="46" t="n"/>
      <c r="H152" s="46" t="n"/>
      <c r="I152" s="46" t="n"/>
      <c r="J152" s="46" t="n"/>
      <c r="K152" s="46" t="n"/>
      <c r="L152" s="45">
        <f>IF($A152="","",IF(COUNTBLANK($B152:$C152)+COUNTBLANK($E152:$H152)&gt;0,"Faltan campos",IF(AND($C152="No funcional",$D152=""),"Falta categoría",IF($K152="","Falta definir si integra el MVP","Fila completa"))))</f>
        <v/>
      </c>
    </row>
    <row r="153" ht="33.75" customHeight="1" s="31">
      <c r="A153" s="47" t="n"/>
      <c r="B153" s="47" t="n"/>
      <c r="C153" s="47" t="n"/>
      <c r="D153" s="47" t="n"/>
      <c r="E153" s="47" t="n"/>
      <c r="F153" s="47" t="n"/>
      <c r="G153" s="47" t="n"/>
      <c r="H153" s="47" t="n"/>
      <c r="I153" s="47" t="n"/>
      <c r="J153" s="47" t="n"/>
      <c r="K153" s="47" t="n"/>
      <c r="L153" s="45">
        <f>IF($A153="","",IF(COUNTBLANK($B153:$C153)+COUNTBLANK($E153:$H153)&gt;0,"Faltan campos",IF(AND($C153="No funcional",$D153=""),"Falta categoría",IF($K153="","Falta definir si integra el MVP","Fila completa"))))</f>
        <v/>
      </c>
    </row>
    <row r="154" ht="33.75" customHeight="1" s="31">
      <c r="A154" s="46" t="n"/>
      <c r="B154" s="46" t="n"/>
      <c r="C154" s="46" t="n"/>
      <c r="D154" s="46" t="n"/>
      <c r="E154" s="46" t="n"/>
      <c r="F154" s="46" t="n"/>
      <c r="G154" s="46" t="n"/>
      <c r="H154" s="46" t="n"/>
      <c r="I154" s="46" t="n"/>
      <c r="J154" s="46" t="n"/>
      <c r="K154" s="46" t="n"/>
      <c r="L154" s="45">
        <f>IF($A154="","",IF(COUNTBLANK($B154:$C154)+COUNTBLANK($E154:$H154)&gt;0,"Faltan campos",IF(AND($C154="No funcional",$D154=""),"Falta categoría",IF($K154="","Falta definir si integra el MVP","Fila completa"))))</f>
        <v/>
      </c>
    </row>
    <row r="155" ht="33.75" customHeight="1" s="31">
      <c r="A155" s="47" t="n"/>
      <c r="B155" s="47" t="n"/>
      <c r="C155" s="47" t="n"/>
      <c r="D155" s="47" t="n"/>
      <c r="E155" s="47" t="n"/>
      <c r="F155" s="47" t="n"/>
      <c r="G155" s="47" t="n"/>
      <c r="H155" s="47" t="n"/>
      <c r="I155" s="47" t="n"/>
      <c r="J155" s="47" t="n"/>
      <c r="K155" s="47" t="n"/>
      <c r="L155" s="45">
        <f>IF($A155="","",IF(COUNTBLANK($B155:$C155)+COUNTBLANK($E155:$H155)&gt;0,"Faltan campos",IF(AND($C155="No funcional",$D155=""),"Falta categoría",IF($K155="","Falta definir si integra el MVP","Fila completa"))))</f>
        <v/>
      </c>
    </row>
    <row r="156" ht="33.75" customHeight="1" s="31">
      <c r="A156" s="46" t="n"/>
      <c r="B156" s="46" t="n"/>
      <c r="C156" s="46" t="n"/>
      <c r="D156" s="46" t="n"/>
      <c r="E156" s="46" t="n"/>
      <c r="F156" s="46" t="n"/>
      <c r="G156" s="46" t="n"/>
      <c r="H156" s="46" t="n"/>
      <c r="I156" s="46" t="n"/>
      <c r="J156" s="46" t="n"/>
      <c r="K156" s="46" t="n"/>
      <c r="L156" s="45">
        <f>IF($A156="","",IF(COUNTBLANK($B156:$C156)+COUNTBLANK($E156:$H156)&gt;0,"Faltan campos",IF(AND($C156="No funcional",$D156=""),"Falta categoría",IF($K156="","Falta definir si integra el MVP","Fila completa"))))</f>
        <v/>
      </c>
    </row>
    <row r="157" ht="33.75" customHeight="1" s="31">
      <c r="A157" s="47" t="n"/>
      <c r="B157" s="47" t="n"/>
      <c r="C157" s="47" t="n"/>
      <c r="D157" s="47" t="n"/>
      <c r="E157" s="47" t="n"/>
      <c r="F157" s="47" t="n"/>
      <c r="G157" s="47" t="n"/>
      <c r="H157" s="47" t="n"/>
      <c r="I157" s="47" t="n"/>
      <c r="J157" s="47" t="n"/>
      <c r="K157" s="47" t="n"/>
      <c r="L157" s="45">
        <f>IF($A157="","",IF(COUNTBLANK($B157:$C157)+COUNTBLANK($E157:$H157)&gt;0,"Faltan campos",IF(AND($C157="No funcional",$D157=""),"Falta categoría",IF($K157="","Falta definir si integra el MVP","Fila completa"))))</f>
        <v/>
      </c>
    </row>
    <row r="158" ht="33.75" customHeight="1" s="31">
      <c r="A158" s="46" t="n"/>
      <c r="B158" s="46" t="n"/>
      <c r="C158" s="46" t="n"/>
      <c r="D158" s="46" t="n"/>
      <c r="E158" s="46" t="n"/>
      <c r="F158" s="46" t="n"/>
      <c r="G158" s="46" t="n"/>
      <c r="H158" s="46" t="n"/>
      <c r="I158" s="46" t="n"/>
      <c r="J158" s="46" t="n"/>
      <c r="K158" s="46" t="n"/>
      <c r="L158" s="45">
        <f>IF($A158="","",IF(COUNTBLANK($B158:$C158)+COUNTBLANK($E158:$H158)&gt;0,"Faltan campos",IF(AND($C158="No funcional",$D158=""),"Falta categoría",IF($K158="","Falta definir si integra el MVP","Fila completa"))))</f>
        <v/>
      </c>
    </row>
    <row r="159" ht="33.75" customHeight="1" s="31">
      <c r="A159" s="47" t="n"/>
      <c r="B159" s="47" t="n"/>
      <c r="C159" s="47" t="n"/>
      <c r="D159" s="47" t="n"/>
      <c r="E159" s="47" t="n"/>
      <c r="F159" s="47" t="n"/>
      <c r="G159" s="47" t="n"/>
      <c r="H159" s="47" t="n"/>
      <c r="I159" s="47" t="n"/>
      <c r="J159" s="47" t="n"/>
      <c r="K159" s="47" t="n"/>
      <c r="L159" s="45">
        <f>IF($A159="","",IF(COUNTBLANK($B159:$C159)+COUNTBLANK($E159:$H159)&gt;0,"Faltan campos",IF(AND($C159="No funcional",$D159=""),"Falta categoría",IF($K159="","Falta definir si integra el MVP","Fila completa"))))</f>
        <v/>
      </c>
    </row>
    <row r="160" ht="33.75" customHeight="1" s="31">
      <c r="A160" s="46" t="n"/>
      <c r="B160" s="46" t="n"/>
      <c r="C160" s="46" t="n"/>
      <c r="D160" s="46" t="n"/>
      <c r="E160" s="46" t="n"/>
      <c r="F160" s="46" t="n"/>
      <c r="G160" s="46" t="n"/>
      <c r="H160" s="46" t="n"/>
      <c r="I160" s="46" t="n"/>
      <c r="J160" s="46" t="n"/>
      <c r="K160" s="46" t="n"/>
      <c r="L160" s="45">
        <f>IF($A160="","",IF(COUNTBLANK($B160:$C160)+COUNTBLANK($E160:$H160)&gt;0,"Faltan campos",IF(AND($C160="No funcional",$D160=""),"Falta categoría",IF($K160="","Falta definir si integra el MVP","Fila completa"))))</f>
        <v/>
      </c>
    </row>
    <row r="161" ht="33.75" customHeight="1" s="31">
      <c r="A161" s="47" t="n"/>
      <c r="B161" s="47" t="n"/>
      <c r="C161" s="47" t="n"/>
      <c r="D161" s="47" t="n"/>
      <c r="E161" s="47" t="n"/>
      <c r="F161" s="47" t="n"/>
      <c r="G161" s="47" t="n"/>
      <c r="H161" s="47" t="n"/>
      <c r="I161" s="47" t="n"/>
      <c r="J161" s="47" t="n"/>
      <c r="K161" s="47" t="n"/>
      <c r="L161" s="45">
        <f>IF($A161="","",IF(COUNTBLANK($B161:$C161)+COUNTBLANK($E161:$H161)&gt;0,"Faltan campos",IF(AND($C161="No funcional",$D161=""),"Falta categoría",IF($K161="","Falta definir si integra el MVP","Fila completa"))))</f>
        <v/>
      </c>
    </row>
    <row r="162" ht="33.75" customHeight="1" s="31">
      <c r="A162" s="46" t="n"/>
      <c r="B162" s="46" t="n"/>
      <c r="C162" s="46" t="n"/>
      <c r="D162" s="46" t="n"/>
      <c r="E162" s="46" t="n"/>
      <c r="F162" s="46" t="n"/>
      <c r="G162" s="46" t="n"/>
      <c r="H162" s="46" t="n"/>
      <c r="I162" s="46" t="n"/>
      <c r="J162" s="46" t="n"/>
      <c r="K162" s="46" t="n"/>
      <c r="L162" s="45">
        <f>IF($A162="","",IF(COUNTBLANK($B162:$C162)+COUNTBLANK($E162:$H162)&gt;0,"Faltan campos",IF(AND($C162="No funcional",$D162=""),"Falta categoría",IF($K162="","Falta definir si integra el MVP","Fila completa"))))</f>
        <v/>
      </c>
    </row>
    <row r="163" ht="33.75" customHeight="1" s="31">
      <c r="A163" s="47" t="n"/>
      <c r="B163" s="47" t="n"/>
      <c r="C163" s="47" t="n"/>
      <c r="D163" s="47" t="n"/>
      <c r="E163" s="47" t="n"/>
      <c r="F163" s="47" t="n"/>
      <c r="G163" s="47" t="n"/>
      <c r="H163" s="47" t="n"/>
      <c r="I163" s="47" t="n"/>
      <c r="J163" s="47" t="n"/>
      <c r="K163" s="47" t="n"/>
      <c r="L163" s="45">
        <f>IF($A163="","",IF(COUNTBLANK($B163:$C163)+COUNTBLANK($E163:$H163)&gt;0,"Faltan campos",IF(AND($C163="No funcional",$D163=""),"Falta categoría",IF($K163="","Falta definir si integra el MVP","Fila completa"))))</f>
        <v/>
      </c>
    </row>
    <row r="164" ht="33.75" customHeight="1" s="31">
      <c r="A164" s="46" t="n"/>
      <c r="B164" s="46" t="n"/>
      <c r="C164" s="46" t="n"/>
      <c r="D164" s="46" t="n"/>
      <c r="E164" s="46" t="n"/>
      <c r="F164" s="46" t="n"/>
      <c r="G164" s="46" t="n"/>
      <c r="H164" s="46" t="n"/>
      <c r="I164" s="46" t="n"/>
      <c r="J164" s="46" t="n"/>
      <c r="K164" s="46" t="n"/>
      <c r="L164" s="45">
        <f>IF($A164="","",IF(COUNTBLANK($B164:$C164)+COUNTBLANK($E164:$H164)&gt;0,"Faltan campos",IF(AND($C164="No funcional",$D164=""),"Falta categoría",IF($K164="","Falta definir si integra el MVP","Fila completa"))))</f>
        <v/>
      </c>
    </row>
    <row r="165" ht="33.75" customHeight="1" s="31">
      <c r="A165" s="47" t="n"/>
      <c r="B165" s="47" t="n"/>
      <c r="C165" s="47" t="n"/>
      <c r="D165" s="47" t="n"/>
      <c r="E165" s="47" t="n"/>
      <c r="F165" s="47" t="n"/>
      <c r="G165" s="47" t="n"/>
      <c r="H165" s="47" t="n"/>
      <c r="I165" s="47" t="n"/>
      <c r="J165" s="47" t="n"/>
      <c r="K165" s="47" t="n"/>
      <c r="L165" s="45">
        <f>IF($A165="","",IF(COUNTBLANK($B165:$C165)+COUNTBLANK($E165:$H165)&gt;0,"Faltan campos",IF(AND($C165="No funcional",$D165=""),"Falta categoría",IF($K165="","Falta definir si integra el MVP","Fila completa"))))</f>
        <v/>
      </c>
    </row>
    <row r="166" ht="33.75" customHeight="1" s="31">
      <c r="A166" s="46" t="n"/>
      <c r="B166" s="46" t="n"/>
      <c r="C166" s="46" t="n"/>
      <c r="D166" s="46" t="n"/>
      <c r="E166" s="46" t="n"/>
      <c r="F166" s="46" t="n"/>
      <c r="G166" s="46" t="n"/>
      <c r="H166" s="46" t="n"/>
      <c r="I166" s="46" t="n"/>
      <c r="J166" s="46" t="n"/>
      <c r="K166" s="46" t="n"/>
      <c r="L166" s="45">
        <f>IF($A166="","",IF(COUNTBLANK($B166:$C166)+COUNTBLANK($E166:$H166)&gt;0,"Faltan campos",IF(AND($C166="No funcional",$D166=""),"Falta categoría",IF($K166="","Falta definir si integra el MVP","Fila completa"))))</f>
        <v/>
      </c>
    </row>
    <row r="167" ht="33.75" customHeight="1" s="31">
      <c r="A167" s="47" t="n"/>
      <c r="B167" s="47" t="n"/>
      <c r="C167" s="47" t="n"/>
      <c r="D167" s="47" t="n"/>
      <c r="E167" s="47" t="n"/>
      <c r="F167" s="47" t="n"/>
      <c r="G167" s="47" t="n"/>
      <c r="H167" s="47" t="n"/>
      <c r="I167" s="47" t="n"/>
      <c r="J167" s="47" t="n"/>
      <c r="K167" s="47" t="n"/>
      <c r="L167" s="45">
        <f>IF($A167="","",IF(COUNTBLANK($B167:$C167)+COUNTBLANK($E167:$H167)&gt;0,"Faltan campos",IF(AND($C167="No funcional",$D167=""),"Falta categoría",IF($K167="","Falta definir si integra el MVP","Fila completa"))))</f>
        <v/>
      </c>
    </row>
    <row r="168" ht="33.75" customHeight="1" s="31">
      <c r="A168" s="46" t="n"/>
      <c r="B168" s="46" t="n"/>
      <c r="C168" s="46" t="n"/>
      <c r="D168" s="46" t="n"/>
      <c r="E168" s="46" t="n"/>
      <c r="F168" s="46" t="n"/>
      <c r="G168" s="46" t="n"/>
      <c r="H168" s="46" t="n"/>
      <c r="I168" s="46" t="n"/>
      <c r="J168" s="46" t="n"/>
      <c r="K168" s="46" t="n"/>
      <c r="L168" s="45">
        <f>IF($A168="","",IF(COUNTBLANK($B168:$C168)+COUNTBLANK($E168:$H168)&gt;0,"Faltan campos",IF(AND($C168="No funcional",$D168=""),"Falta categoría",IF($K168="","Falta definir si integra el MVP","Fila completa"))))</f>
        <v/>
      </c>
    </row>
    <row r="169" ht="33.75" customHeight="1" s="31">
      <c r="A169" s="47" t="n"/>
      <c r="B169" s="47" t="n"/>
      <c r="C169" s="47" t="n"/>
      <c r="D169" s="47" t="n"/>
      <c r="E169" s="47" t="n"/>
      <c r="F169" s="47" t="n"/>
      <c r="G169" s="47" t="n"/>
      <c r="H169" s="47" t="n"/>
      <c r="I169" s="47" t="n"/>
      <c r="J169" s="47" t="n"/>
      <c r="K169" s="47" t="n"/>
      <c r="L169" s="45">
        <f>IF($A169="","",IF(COUNTBLANK($B169:$C169)+COUNTBLANK($E169:$H169)&gt;0,"Faltan campos",IF(AND($C169="No funcional",$D169=""),"Falta categoría",IF($K169="","Falta definir si integra el MVP","Fila completa"))))</f>
        <v/>
      </c>
    </row>
    <row r="170" ht="33.75" customHeight="1" s="31">
      <c r="A170" s="46" t="n"/>
      <c r="B170" s="46" t="n"/>
      <c r="C170" s="46" t="n"/>
      <c r="D170" s="46" t="n"/>
      <c r="E170" s="46" t="n"/>
      <c r="F170" s="46" t="n"/>
      <c r="G170" s="46" t="n"/>
      <c r="H170" s="46" t="n"/>
      <c r="I170" s="46" t="n"/>
      <c r="J170" s="46" t="n"/>
      <c r="K170" s="46" t="n"/>
      <c r="L170" s="45">
        <f>IF($A170="","",IF(COUNTBLANK($B170:$C170)+COUNTBLANK($E170:$H170)&gt;0,"Faltan campos",IF(AND($C170="No funcional",$D170=""),"Falta categoría",IF($K170="","Falta definir si integra el MVP","Fila completa"))))</f>
        <v/>
      </c>
    </row>
    <row r="171" ht="33.75" customHeight="1" s="31">
      <c r="A171" s="47" t="n"/>
      <c r="B171" s="47" t="n"/>
      <c r="C171" s="47" t="n"/>
      <c r="D171" s="47" t="n"/>
      <c r="E171" s="47" t="n"/>
      <c r="F171" s="47" t="n"/>
      <c r="G171" s="47" t="n"/>
      <c r="H171" s="47" t="n"/>
      <c r="I171" s="47" t="n"/>
      <c r="J171" s="47" t="n"/>
      <c r="K171" s="47" t="n"/>
      <c r="L171" s="45">
        <f>IF($A171="","",IF(COUNTBLANK($B171:$C171)+COUNTBLANK($E171:$H171)&gt;0,"Faltan campos",IF(AND($C171="No funcional",$D171=""),"Falta categoría",IF($K171="","Falta definir si integra el MVP","Fila completa"))))</f>
        <v/>
      </c>
    </row>
    <row r="172" ht="33.75" customHeight="1" s="31">
      <c r="A172" s="46" t="n"/>
      <c r="B172" s="46" t="n"/>
      <c r="C172" s="46" t="n"/>
      <c r="D172" s="46" t="n"/>
      <c r="E172" s="46" t="n"/>
      <c r="F172" s="46" t="n"/>
      <c r="G172" s="46" t="n"/>
      <c r="H172" s="46" t="n"/>
      <c r="I172" s="46" t="n"/>
      <c r="J172" s="46" t="n"/>
      <c r="K172" s="46" t="n"/>
      <c r="L172" s="45">
        <f>IF($A172="","",IF(COUNTBLANK($B172:$C172)+COUNTBLANK($E172:$H172)&gt;0,"Faltan campos",IF(AND($C172="No funcional",$D172=""),"Falta categoría",IF($K172="","Falta definir si integra el MVP","Fila completa"))))</f>
        <v/>
      </c>
    </row>
    <row r="173" ht="33.75" customHeight="1" s="31">
      <c r="A173" s="47" t="n"/>
      <c r="B173" s="47" t="n"/>
      <c r="C173" s="47" t="n"/>
      <c r="D173" s="47" t="n"/>
      <c r="E173" s="47" t="n"/>
      <c r="F173" s="47" t="n"/>
      <c r="G173" s="47" t="n"/>
      <c r="H173" s="47" t="n"/>
      <c r="I173" s="47" t="n"/>
      <c r="J173" s="47" t="n"/>
      <c r="K173" s="47" t="n"/>
      <c r="L173" s="45">
        <f>IF($A173="","",IF(COUNTBLANK($B173:$C173)+COUNTBLANK($E173:$H173)&gt;0,"Faltan campos",IF(AND($C173="No funcional",$D173=""),"Falta categoría",IF($K173="","Falta definir si integra el MVP","Fila completa"))))</f>
        <v/>
      </c>
    </row>
    <row r="174" ht="33.75" customHeight="1" s="31">
      <c r="A174" s="46" t="n"/>
      <c r="B174" s="46" t="n"/>
      <c r="C174" s="46" t="n"/>
      <c r="D174" s="46" t="n"/>
      <c r="E174" s="46" t="n"/>
      <c r="F174" s="46" t="n"/>
      <c r="G174" s="46" t="n"/>
      <c r="H174" s="46" t="n"/>
      <c r="I174" s="46" t="n"/>
      <c r="J174" s="46" t="n"/>
      <c r="K174" s="46" t="n"/>
      <c r="L174" s="45">
        <f>IF($A174="","",IF(COUNTBLANK($B174:$C174)+COUNTBLANK($E174:$H174)&gt;0,"Faltan campos",IF(AND($C174="No funcional",$D174=""),"Falta categoría",IF($K174="","Falta definir si integra el MVP","Fila completa"))))</f>
        <v/>
      </c>
    </row>
    <row r="175" ht="33.75" customHeight="1" s="31">
      <c r="A175" s="47" t="n"/>
      <c r="B175" s="47" t="n"/>
      <c r="C175" s="47" t="n"/>
      <c r="D175" s="47" t="n"/>
      <c r="E175" s="47" t="n"/>
      <c r="F175" s="47" t="n"/>
      <c r="G175" s="47" t="n"/>
      <c r="H175" s="47" t="n"/>
      <c r="I175" s="47" t="n"/>
      <c r="J175" s="47" t="n"/>
      <c r="K175" s="47" t="n"/>
      <c r="L175" s="45">
        <f>IF($A175="","",IF(COUNTBLANK($B175:$C175)+COUNTBLANK($E175:$H175)&gt;0,"Faltan campos",IF(AND($C175="No funcional",$D175=""),"Falta categoría",IF($K175="","Falta definir si integra el MVP","Fila completa"))))</f>
        <v/>
      </c>
    </row>
    <row r="176" ht="33.75" customHeight="1" s="31">
      <c r="A176" s="46" t="n"/>
      <c r="B176" s="46" t="n"/>
      <c r="C176" s="46" t="n"/>
      <c r="D176" s="46" t="n"/>
      <c r="E176" s="46" t="n"/>
      <c r="F176" s="46" t="n"/>
      <c r="G176" s="46" t="n"/>
      <c r="H176" s="46" t="n"/>
      <c r="I176" s="46" t="n"/>
      <c r="J176" s="46" t="n"/>
      <c r="K176" s="46" t="n"/>
      <c r="L176" s="45">
        <f>IF($A176="","",IF(COUNTBLANK($B176:$C176)+COUNTBLANK($E176:$H176)&gt;0,"Faltan campos",IF(AND($C176="No funcional",$D176=""),"Falta categoría",IF($K176="","Falta definir si integra el MVP","Fila completa"))))</f>
        <v/>
      </c>
    </row>
    <row r="177" ht="33.75" customHeight="1" s="31">
      <c r="A177" s="47" t="n"/>
      <c r="B177" s="47" t="n"/>
      <c r="C177" s="47" t="n"/>
      <c r="D177" s="47" t="n"/>
      <c r="E177" s="47" t="n"/>
      <c r="F177" s="47" t="n"/>
      <c r="G177" s="47" t="n"/>
      <c r="H177" s="47" t="n"/>
      <c r="I177" s="47" t="n"/>
      <c r="J177" s="47" t="n"/>
      <c r="K177" s="47" t="n"/>
      <c r="L177" s="45">
        <f>IF($A177="","",IF(COUNTBLANK($B177:$C177)+COUNTBLANK($E177:$H177)&gt;0,"Faltan campos",IF(AND($C177="No funcional",$D177=""),"Falta categoría",IF($K177="","Falta definir si integra el MVP","Fila completa"))))</f>
        <v/>
      </c>
    </row>
    <row r="178" ht="33.75" customHeight="1" s="31">
      <c r="A178" s="46" t="n"/>
      <c r="B178" s="46" t="n"/>
      <c r="C178" s="46" t="n"/>
      <c r="D178" s="46" t="n"/>
      <c r="E178" s="46" t="n"/>
      <c r="F178" s="46" t="n"/>
      <c r="G178" s="46" t="n"/>
      <c r="H178" s="46" t="n"/>
      <c r="I178" s="46" t="n"/>
      <c r="J178" s="46" t="n"/>
      <c r="K178" s="46" t="n"/>
      <c r="L178" s="45">
        <f>IF($A178="","",IF(COUNTBLANK($B178:$C178)+COUNTBLANK($E178:$H178)&gt;0,"Faltan campos",IF(AND($C178="No funcional",$D178=""),"Falta categoría",IF($K178="","Falta definir si integra el MVP","Fila completa"))))</f>
        <v/>
      </c>
    </row>
    <row r="179" ht="33.75" customHeight="1" s="31">
      <c r="A179" s="47" t="n"/>
      <c r="B179" s="47" t="n"/>
      <c r="C179" s="47" t="n"/>
      <c r="D179" s="47" t="n"/>
      <c r="E179" s="47" t="n"/>
      <c r="F179" s="47" t="n"/>
      <c r="G179" s="47" t="n"/>
      <c r="H179" s="47" t="n"/>
      <c r="I179" s="47" t="n"/>
      <c r="J179" s="47" t="n"/>
      <c r="K179" s="47" t="n"/>
      <c r="L179" s="45">
        <f>IF($A179="","",IF(COUNTBLANK($B179:$C179)+COUNTBLANK($E179:$H179)&gt;0,"Faltan campos",IF(AND($C179="No funcional",$D179=""),"Falta categoría",IF($K179="","Falta definir si integra el MVP","Fila completa"))))</f>
        <v/>
      </c>
    </row>
    <row r="180" ht="33.75" customHeight="1" s="31">
      <c r="A180" s="46" t="n"/>
      <c r="B180" s="46" t="n"/>
      <c r="C180" s="46" t="n"/>
      <c r="D180" s="46" t="n"/>
      <c r="E180" s="46" t="n"/>
      <c r="F180" s="46" t="n"/>
      <c r="G180" s="46" t="n"/>
      <c r="H180" s="46" t="n"/>
      <c r="I180" s="46" t="n"/>
      <c r="J180" s="46" t="n"/>
      <c r="K180" s="46" t="n"/>
      <c r="L180" s="45">
        <f>IF($A180="","",IF(COUNTBLANK($B180:$C180)+COUNTBLANK($E180:$H180)&gt;0,"Faltan campos",IF(AND($C180="No funcional",$D180=""),"Falta categoría",IF($K180="","Falta definir si integra el MVP","Fila completa"))))</f>
        <v/>
      </c>
    </row>
    <row r="181" ht="33.75" customHeight="1" s="31">
      <c r="A181" s="47" t="n"/>
      <c r="B181" s="47" t="n"/>
      <c r="C181" s="47" t="n"/>
      <c r="D181" s="47" t="n"/>
      <c r="E181" s="47" t="n"/>
      <c r="F181" s="47" t="n"/>
      <c r="G181" s="47" t="n"/>
      <c r="H181" s="47" t="n"/>
      <c r="I181" s="47" t="n"/>
      <c r="J181" s="47" t="n"/>
      <c r="K181" s="47" t="n"/>
      <c r="L181" s="45">
        <f>IF($A181="","",IF(COUNTBLANK($B181:$C181)+COUNTBLANK($E181:$H181)&gt;0,"Faltan campos",IF(AND($C181="No funcional",$D181=""),"Falta categoría",IF($K181="","Falta definir si integra el MVP","Fila completa"))))</f>
        <v/>
      </c>
    </row>
    <row r="182" ht="33.75" customHeight="1" s="31">
      <c r="A182" s="46" t="n"/>
      <c r="B182" s="46" t="n"/>
      <c r="C182" s="46" t="n"/>
      <c r="D182" s="46" t="n"/>
      <c r="E182" s="46" t="n"/>
      <c r="F182" s="46" t="n"/>
      <c r="G182" s="46" t="n"/>
      <c r="H182" s="46" t="n"/>
      <c r="I182" s="46" t="n"/>
      <c r="J182" s="46" t="n"/>
      <c r="K182" s="46" t="n"/>
      <c r="L182" s="45">
        <f>IF($A182="","",IF(COUNTBLANK($B182:$C182)+COUNTBLANK($E182:$H182)&gt;0,"Faltan campos",IF(AND($C182="No funcional",$D182=""),"Falta categoría",IF($K182="","Falta definir si integra el MVP","Fila completa"))))</f>
        <v/>
      </c>
    </row>
    <row r="183" ht="33.75" customHeight="1" s="31">
      <c r="A183" s="47" t="n"/>
      <c r="B183" s="47" t="n"/>
      <c r="C183" s="47" t="n"/>
      <c r="D183" s="47" t="n"/>
      <c r="E183" s="47" t="n"/>
      <c r="F183" s="47" t="n"/>
      <c r="G183" s="47" t="n"/>
      <c r="H183" s="47" t="n"/>
      <c r="I183" s="47" t="n"/>
      <c r="J183" s="47" t="n"/>
      <c r="K183" s="47" t="n"/>
      <c r="L183" s="45">
        <f>IF($A183="","",IF(COUNTBLANK($B183:$C183)+COUNTBLANK($E183:$H183)&gt;0,"Faltan campos",IF(AND($C183="No funcional",$D183=""),"Falta categoría",IF($K183="","Falta definir si integra el MVP","Fila completa"))))</f>
        <v/>
      </c>
    </row>
    <row r="184" ht="33.75" customHeight="1" s="31">
      <c r="A184" s="46" t="n"/>
      <c r="B184" s="46" t="n"/>
      <c r="C184" s="46" t="n"/>
      <c r="D184" s="46" t="n"/>
      <c r="E184" s="46" t="n"/>
      <c r="F184" s="46" t="n"/>
      <c r="G184" s="46" t="n"/>
      <c r="H184" s="46" t="n"/>
      <c r="I184" s="46" t="n"/>
      <c r="J184" s="46" t="n"/>
      <c r="K184" s="46" t="n"/>
      <c r="L184" s="45">
        <f>IF($A184="","",IF(COUNTBLANK($B184:$C184)+COUNTBLANK($E184:$H184)&gt;0,"Faltan campos",IF(AND($C184="No funcional",$D184=""),"Falta categoría",IF($K184="","Falta definir si integra el MVP","Fila completa"))))</f>
        <v/>
      </c>
    </row>
    <row r="185" ht="33.75" customHeight="1" s="31">
      <c r="A185" s="47" t="n"/>
      <c r="B185" s="47" t="n"/>
      <c r="C185" s="47" t="n"/>
      <c r="D185" s="47" t="n"/>
      <c r="E185" s="47" t="n"/>
      <c r="F185" s="47" t="n"/>
      <c r="G185" s="47" t="n"/>
      <c r="H185" s="47" t="n"/>
      <c r="I185" s="47" t="n"/>
      <c r="J185" s="47" t="n"/>
      <c r="K185" s="47" t="n"/>
      <c r="L185" s="45">
        <f>IF($A185="","",IF(COUNTBLANK($B185:$C185)+COUNTBLANK($E185:$H185)&gt;0,"Faltan campos",IF(AND($C185="No funcional",$D185=""),"Falta categoría",IF($K185="","Falta definir si integra el MVP","Fila completa"))))</f>
        <v/>
      </c>
    </row>
    <row r="186" ht="33.75" customHeight="1" s="31">
      <c r="A186" s="46" t="n"/>
      <c r="B186" s="46" t="n"/>
      <c r="C186" s="46" t="n"/>
      <c r="D186" s="46" t="n"/>
      <c r="E186" s="46" t="n"/>
      <c r="F186" s="46" t="n"/>
      <c r="G186" s="46" t="n"/>
      <c r="H186" s="46" t="n"/>
      <c r="I186" s="46" t="n"/>
      <c r="J186" s="46" t="n"/>
      <c r="K186" s="46" t="n"/>
      <c r="L186" s="45">
        <f>IF($A186="","",IF(COUNTBLANK($B186:$C186)+COUNTBLANK($E186:$H186)&gt;0,"Faltan campos",IF(AND($C186="No funcional",$D186=""),"Falta categoría",IF($K186="","Falta definir si integra el MVP","Fila completa"))))</f>
        <v/>
      </c>
    </row>
    <row r="187" ht="33.75" customHeight="1" s="31">
      <c r="A187" s="47" t="n"/>
      <c r="B187" s="47" t="n"/>
      <c r="C187" s="47" t="n"/>
      <c r="D187" s="47" t="n"/>
      <c r="E187" s="47" t="n"/>
      <c r="F187" s="47" t="n"/>
      <c r="G187" s="47" t="n"/>
      <c r="H187" s="47" t="n"/>
      <c r="I187" s="47" t="n"/>
      <c r="J187" s="47" t="n"/>
      <c r="K187" s="47" t="n"/>
      <c r="L187" s="45">
        <f>IF($A187="","",IF(COUNTBLANK($B187:$C187)+COUNTBLANK($E187:$H187)&gt;0,"Faltan campos",IF(AND($C187="No funcional",$D187=""),"Falta categoría",IF($K187="","Falta definir si integra el MVP","Fila completa"))))</f>
        <v/>
      </c>
    </row>
    <row r="188" ht="33.75" customHeight="1" s="31">
      <c r="A188" s="46" t="n"/>
      <c r="B188" s="46" t="n"/>
      <c r="C188" s="46" t="n"/>
      <c r="D188" s="46" t="n"/>
      <c r="E188" s="46" t="n"/>
      <c r="F188" s="46" t="n"/>
      <c r="G188" s="46" t="n"/>
      <c r="H188" s="46" t="n"/>
      <c r="I188" s="46" t="n"/>
      <c r="J188" s="46" t="n"/>
      <c r="K188" s="46" t="n"/>
      <c r="L188" s="45">
        <f>IF($A188="","",IF(COUNTBLANK($B188:$C188)+COUNTBLANK($E188:$H188)&gt;0,"Faltan campos",IF(AND($C188="No funcional",$D188=""),"Falta categoría",IF($K188="","Falta definir si integra el MVP","Fila completa"))))</f>
        <v/>
      </c>
    </row>
    <row r="189" ht="33.75" customHeight="1" s="31">
      <c r="A189" s="47" t="n"/>
      <c r="B189" s="47" t="n"/>
      <c r="C189" s="47" t="n"/>
      <c r="D189" s="47" t="n"/>
      <c r="E189" s="47" t="n"/>
      <c r="F189" s="47" t="n"/>
      <c r="G189" s="47" t="n"/>
      <c r="H189" s="47" t="n"/>
      <c r="I189" s="47" t="n"/>
      <c r="J189" s="47" t="n"/>
      <c r="K189" s="47" t="n"/>
      <c r="L189" s="45">
        <f>IF($A189="","",IF(COUNTBLANK($B189:$C189)+COUNTBLANK($E189:$H189)&gt;0,"Faltan campos",IF(AND($C189="No funcional",$D189=""),"Falta categoría",IF($K189="","Falta definir si integra el MVP","Fila completa"))))</f>
        <v/>
      </c>
    </row>
    <row r="190" ht="33.75" customHeight="1" s="31">
      <c r="A190" s="46" t="n"/>
      <c r="B190" s="46" t="n"/>
      <c r="C190" s="46" t="n"/>
      <c r="D190" s="46" t="n"/>
      <c r="E190" s="46" t="n"/>
      <c r="F190" s="46" t="n"/>
      <c r="G190" s="46" t="n"/>
      <c r="H190" s="46" t="n"/>
      <c r="I190" s="46" t="n"/>
      <c r="J190" s="46" t="n"/>
      <c r="K190" s="46" t="n"/>
      <c r="L190" s="45">
        <f>IF($A190="","",IF(COUNTBLANK($B190:$C190)+COUNTBLANK($E190:$H190)&gt;0,"Faltan campos",IF(AND($C190="No funcional",$D190=""),"Falta categoría",IF($K190="","Falta definir si integra el MVP","Fila completa"))))</f>
        <v/>
      </c>
    </row>
    <row r="191" ht="33.75" customHeight="1" s="31">
      <c r="A191" s="47" t="n"/>
      <c r="B191" s="47" t="n"/>
      <c r="C191" s="47" t="n"/>
      <c r="D191" s="47" t="n"/>
      <c r="E191" s="47" t="n"/>
      <c r="F191" s="47" t="n"/>
      <c r="G191" s="47" t="n"/>
      <c r="H191" s="47" t="n"/>
      <c r="I191" s="47" t="n"/>
      <c r="J191" s="47" t="n"/>
      <c r="K191" s="47" t="n"/>
      <c r="L191" s="45">
        <f>IF($A191="","",IF(COUNTBLANK($B191:$C191)+COUNTBLANK($E191:$H191)&gt;0,"Faltan campos",IF(AND($C191="No funcional",$D191=""),"Falta categoría",IF($K191="","Falta definir si integra el MVP","Fila completa"))))</f>
        <v/>
      </c>
    </row>
    <row r="192" ht="33.75" customHeight="1" s="31">
      <c r="A192" s="46" t="n"/>
      <c r="B192" s="46" t="n"/>
      <c r="C192" s="46" t="n"/>
      <c r="D192" s="46" t="n"/>
      <c r="E192" s="46" t="n"/>
      <c r="F192" s="46" t="n"/>
      <c r="G192" s="46" t="n"/>
      <c r="H192" s="46" t="n"/>
      <c r="I192" s="46" t="n"/>
      <c r="J192" s="46" t="n"/>
      <c r="K192" s="46" t="n"/>
      <c r="L192" s="45">
        <f>IF($A192="","",IF(COUNTBLANK($B192:$C192)+COUNTBLANK($E192:$H192)&gt;0,"Faltan campos",IF(AND($C192="No funcional",$D192=""),"Falta categoría",IF($K192="","Falta definir si integra el MVP","Fila completa"))))</f>
        <v/>
      </c>
    </row>
    <row r="193" ht="33.75" customHeight="1" s="31">
      <c r="A193" s="47" t="n"/>
      <c r="B193" s="47" t="n"/>
      <c r="C193" s="47" t="n"/>
      <c r="D193" s="47" t="n"/>
      <c r="E193" s="47" t="n"/>
      <c r="F193" s="47" t="n"/>
      <c r="G193" s="47" t="n"/>
      <c r="H193" s="47" t="n"/>
      <c r="I193" s="47" t="n"/>
      <c r="J193" s="47" t="n"/>
      <c r="K193" s="47" t="n"/>
      <c r="L193" s="45">
        <f>IF($A193="","",IF(COUNTBLANK($B193:$C193)+COUNTBLANK($E193:$H193)&gt;0,"Faltan campos",IF(AND($C193="No funcional",$D193=""),"Falta categoría",IF($K193="","Falta definir si integra el MVP","Fila completa"))))</f>
        <v/>
      </c>
    </row>
    <row r="194" ht="33.75" customHeight="1" s="31">
      <c r="A194" s="46" t="n"/>
      <c r="B194" s="46" t="n"/>
      <c r="C194" s="46" t="n"/>
      <c r="D194" s="46" t="n"/>
      <c r="E194" s="46" t="n"/>
      <c r="F194" s="46" t="n"/>
      <c r="G194" s="46" t="n"/>
      <c r="H194" s="46" t="n"/>
      <c r="I194" s="46" t="n"/>
      <c r="J194" s="46" t="n"/>
      <c r="K194" s="46" t="n"/>
      <c r="L194" s="45">
        <f>IF($A194="","",IF(COUNTBLANK($B194:$C194)+COUNTBLANK($E194:$H194)&gt;0,"Faltan campos",IF(AND($C194="No funcional",$D194=""),"Falta categoría",IF($K194="","Falta definir si integra el MVP","Fila completa"))))</f>
        <v/>
      </c>
    </row>
    <row r="195" ht="33.75" customHeight="1" s="31">
      <c r="A195" s="47" t="n"/>
      <c r="B195" s="47" t="n"/>
      <c r="C195" s="47" t="n"/>
      <c r="D195" s="47" t="n"/>
      <c r="E195" s="47" t="n"/>
      <c r="F195" s="47" t="n"/>
      <c r="G195" s="47" t="n"/>
      <c r="H195" s="47" t="n"/>
      <c r="I195" s="47" t="n"/>
      <c r="J195" s="47" t="n"/>
      <c r="K195" s="47" t="n"/>
      <c r="L195" s="45">
        <f>IF($A195="","",IF(COUNTBLANK($B195:$C195)+COUNTBLANK($E195:$H195)&gt;0,"Faltan campos",IF(AND($C195="No funcional",$D195=""),"Falta categoría",IF($K195="","Falta definir si integra el MVP","Fila completa"))))</f>
        <v/>
      </c>
    </row>
    <row r="196" ht="33.75" customHeight="1" s="31">
      <c r="A196" s="46" t="n"/>
      <c r="B196" s="46" t="n"/>
      <c r="C196" s="46" t="n"/>
      <c r="D196" s="46" t="n"/>
      <c r="E196" s="46" t="n"/>
      <c r="F196" s="46" t="n"/>
      <c r="G196" s="46" t="n"/>
      <c r="H196" s="46" t="n"/>
      <c r="I196" s="46" t="n"/>
      <c r="J196" s="46" t="n"/>
      <c r="K196" s="46" t="n"/>
      <c r="L196" s="45">
        <f>IF($A196="","",IF(COUNTBLANK($B196:$C196)+COUNTBLANK($E196:$H196)&gt;0,"Faltan campos",IF(AND($C196="No funcional",$D196=""),"Falta categoría",IF($K196="","Falta definir si integra el MVP","Fila completa"))))</f>
        <v/>
      </c>
    </row>
    <row r="197" ht="33.75" customHeight="1" s="31">
      <c r="A197" s="47" t="n"/>
      <c r="B197" s="47" t="n"/>
      <c r="C197" s="47" t="n"/>
      <c r="D197" s="47" t="n"/>
      <c r="E197" s="47" t="n"/>
      <c r="F197" s="47" t="n"/>
      <c r="G197" s="47" t="n"/>
      <c r="H197" s="47" t="n"/>
      <c r="I197" s="47" t="n"/>
      <c r="J197" s="47" t="n"/>
      <c r="K197" s="47" t="n"/>
      <c r="L197" s="45">
        <f>IF($A197="","",IF(COUNTBLANK($B197:$C197)+COUNTBLANK($E197:$H197)&gt;0,"Faltan campos",IF(AND($C197="No funcional",$D197=""),"Falta categoría",IF($K197="","Falta definir si integra el MVP","Fila completa"))))</f>
        <v/>
      </c>
    </row>
    <row r="198" ht="33.75" customHeight="1" s="31">
      <c r="A198" s="46" t="n"/>
      <c r="B198" s="46" t="n"/>
      <c r="C198" s="46" t="n"/>
      <c r="D198" s="46" t="n"/>
      <c r="E198" s="46" t="n"/>
      <c r="F198" s="46" t="n"/>
      <c r="G198" s="46" t="n"/>
      <c r="H198" s="46" t="n"/>
      <c r="I198" s="46" t="n"/>
      <c r="J198" s="46" t="n"/>
      <c r="K198" s="46" t="n"/>
      <c r="L198" s="45">
        <f>IF($A198="","",IF(COUNTBLANK($B198:$C198)+COUNTBLANK($E198:$H198)&gt;0,"Faltan campos",IF(AND($C198="No funcional",$D198=""),"Falta categoría",IF($K198="","Falta definir si integra el MVP","Fila completa"))))</f>
        <v/>
      </c>
    </row>
    <row r="199" ht="33.75" customHeight="1" s="31">
      <c r="A199" s="47" t="n"/>
      <c r="B199" s="47" t="n"/>
      <c r="C199" s="47" t="n"/>
      <c r="D199" s="47" t="n"/>
      <c r="E199" s="47" t="n"/>
      <c r="F199" s="47" t="n"/>
      <c r="G199" s="47" t="n"/>
      <c r="H199" s="47" t="n"/>
      <c r="I199" s="47" t="n"/>
      <c r="J199" s="47" t="n"/>
      <c r="K199" s="47" t="n"/>
      <c r="L199" s="45">
        <f>IF($A199="","",IF(COUNTBLANK($B199:$C199)+COUNTBLANK($E199:$H199)&gt;0,"Faltan campos",IF(AND($C199="No funcional",$D199=""),"Falta categoría",IF($K199="","Falta definir si integra el MVP","Fila completa"))))</f>
        <v/>
      </c>
    </row>
    <row r="200" ht="33.75" customHeight="1" s="31">
      <c r="A200" s="46" t="n"/>
      <c r="B200" s="46" t="n"/>
      <c r="C200" s="46" t="n"/>
      <c r="D200" s="46" t="n"/>
      <c r="E200" s="46" t="n"/>
      <c r="F200" s="46" t="n"/>
      <c r="G200" s="46" t="n"/>
      <c r="H200" s="46" t="n"/>
      <c r="I200" s="46" t="n"/>
      <c r="J200" s="46" t="n"/>
      <c r="K200" s="46" t="n"/>
      <c r="L200" s="45">
        <f>IF($A200="","",IF(COUNTBLANK($B200:$C200)+COUNTBLANK($E200:$H200)&gt;0,"Faltan campos",IF(AND($C200="No funcional",$D200=""),"Falta categoría",IF($K200="","Falta definir si integra el MVP","Fila completa"))))</f>
        <v/>
      </c>
    </row>
    <row r="201" ht="33.75" customHeight="1" s="31">
      <c r="A201" s="47" t="n"/>
      <c r="B201" s="47" t="n"/>
      <c r="C201" s="47" t="n"/>
      <c r="D201" s="47" t="n"/>
      <c r="E201" s="47" t="n"/>
      <c r="F201" s="47" t="n"/>
      <c r="G201" s="47" t="n"/>
      <c r="H201" s="47" t="n"/>
      <c r="I201" s="47" t="n"/>
      <c r="J201" s="47" t="n"/>
      <c r="K201" s="47" t="n"/>
      <c r="L201" s="45">
        <f>IF($A201="","",IF(COUNTBLANK($B201:$C201)+COUNTBLANK($E201:$H201)&gt;0,"Faltan campos",IF(AND($C201="No funcional",$D201=""),"Falta categoría",IF($K201="","Falta definir si integra el MVP","Fila completa"))))</f>
        <v/>
      </c>
    </row>
  </sheetData>
  <mergeCells count="2">
    <mergeCell ref="A2:L2"/>
    <mergeCell ref="A1:L1"/>
  </mergeCells>
  <dataValidations count="5">
    <dataValidation sqref="C5:C201" showDropDown="0" showInputMessage="0" showErrorMessage="1" allowBlank="1" errorTitle="Valor no admitido" error="Sólo se admite Funcional o No funcional." type="list" errorStyle="stop" operator="between">
      <formula1>"Funcional,No funcional"</formula1>
      <formula2>0</formula2>
    </dataValidation>
    <dataValidation sqref="D5:D201" showDropDown="0" showInputMessage="0" showErrorMessage="1" allowBlank="1" errorTitle="Valor no admitido" error="Categoría no prevista por la clasificación de la cátedra." type="list" errorStyle="stop" operator="between">
      <formula1>"Rendimiento,Fiabilidad,Seguridad,Usabilidad,Mantenibilidad,Portabilidad,Cumplimiento normativo"</formula1>
      <formula2>0</formula2>
    </dataValidation>
    <dataValidation sqref="E5:E201" showDropDown="0" showInputMessage="0" showErrorMessage="1" allowBlank="1" errorTitle="Valor no admitido" error="Escala MoSCoW: Must, Should, Could o Won't." type="list" errorStyle="stop" operator="between">
      <formula1>"Must,Should,Could,Won't"</formula1>
      <formula2>0</formula2>
    </dataValidation>
    <dataValidation sqref="I5:I201" showDropDown="0" showInputMessage="0" showErrorMessage="1" allowBlank="1" errorTitle="Valor no admitido" error="Estados admitidos: Validado, Pendiente o Rechazado por el referente." type="list" errorStyle="stop" operator="between">
      <formula1>"Validado,Pendiente,Rechazado por el referente"</formula1>
      <formula2>0</formula2>
    </dataValidation>
    <dataValidation sqref="K5:K201" showDropDown="0" showInputMessage="0" showErrorMessage="1" allowBlank="1" errorTitle="Valor no admitido" error="Responda Sí o No." type="list" errorStyle="stop" operator="between">
      <formula1>"Sí,No"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F6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0" min="1" max="1"/>
    <col width="44" customWidth="1" style="30" min="2" max="2"/>
    <col width="28" customWidth="1" style="30" min="3" max="3"/>
    <col width="22" customWidth="1" style="30" min="4" max="4"/>
    <col width="40" customWidth="1" style="30" min="5" max="5"/>
    <col width="24" customWidth="1" style="30" min="6" max="6"/>
  </cols>
  <sheetData>
    <row r="1" ht="19.5" customHeight="1" s="31">
      <c r="A1" s="32" t="inlineStr">
        <is>
          <t>Matriz de trazabilidad · hallazgo de la AE1 → requisito</t>
        </is>
      </c>
    </row>
    <row r="2" ht="25.5" customHeight="1" s="31">
      <c r="A2" s="33" t="inlineStr">
        <is>
          <t>Se verifica en doble vía. Todo requisito llega a un hallazgo; todo hallazgo llega a un requisito o a una justificación expresa de por qué no derivó ninguno. El silencio no es una decisión.</t>
        </is>
      </c>
    </row>
    <row r="4" ht="30" customHeight="1" s="31">
      <c r="A4" s="43" t="inlineStr">
        <is>
          <t>Código (H-01, H-02…)</t>
        </is>
      </c>
      <c r="B4" s="43" t="inlineStr">
        <is>
          <t>Hallazgo de la AE1 (dato y valor)</t>
        </is>
      </c>
      <c r="C4" s="43" t="inlineStr">
        <is>
          <t>Fuente (apartado del Cap. II o acta)</t>
        </is>
      </c>
      <c r="D4" s="43" t="inlineStr">
        <is>
          <t>Requisito(s) derivado(s)</t>
        </is>
      </c>
      <c r="E4" s="43" t="inlineStr">
        <is>
          <t>Si no deriva: justificación</t>
        </is>
      </c>
      <c r="F4" s="43" t="inlineStr">
        <is>
          <t>Control de la doble vía</t>
        </is>
      </c>
    </row>
    <row r="5" ht="60" customHeight="1" s="31">
      <c r="A5" s="44" t="inlineStr">
        <is>
          <t>H-01</t>
        </is>
      </c>
      <c r="B5" s="44" t="inlineStr">
        <is>
          <t>La configuración efectiva se construye aplicando hasta doce entradas, cuatro de las cuales no son archivos</t>
        </is>
      </c>
      <c r="C5" s="44" t="n"/>
      <c r="D5" s="44" t="inlineStr">
        <is>
          <t>RF-01, RF-04, RNF-02</t>
        </is>
      </c>
      <c r="E5" s="44" t="n"/>
      <c r="F5" s="45">
        <f>IF($A5="","",IF(AND($D5="",$E5=""),"Hallazgo sin destino",IF($D5="","Sin requisito, justificado","Deriva requisito")))</f>
        <v/>
      </c>
    </row>
    <row r="6" ht="33.75" customHeight="1" s="31">
      <c r="A6" s="46" t="inlineStr">
        <is>
          <t>H-02</t>
        </is>
      </c>
      <c r="B6" s="46" t="inlineStr">
        <is>
          <t>La documentación oficial de la versión describe un conjunto menor de entradas y omite el criterio de resolución de permisos</t>
        </is>
      </c>
      <c r="C6" s="46" t="n"/>
      <c r="D6" s="46" t="inlineStr">
        <is>
          <t>RF-01</t>
        </is>
      </c>
      <c r="E6" s="46" t="n"/>
      <c r="F6" s="45">
        <f>IF($A6="","",IF(AND($D6="",$E6=""),"Hallazgo sin destino",IF($D6="","Sin requisito, justificado","Deriva requisito")))</f>
        <v/>
      </c>
    </row>
    <row r="7" ht="33.75" customHeight="1" s="31">
      <c r="A7" s="47" t="inlineStr">
        <is>
          <t>H-03</t>
        </is>
      </c>
      <c r="B7" s="47" t="inlineStr">
        <is>
          <t>La fusión profunda produce un objeto que no consta en ningún archivo</t>
        </is>
      </c>
      <c r="C7" s="47" t="n"/>
      <c r="D7" s="47" t="inlineStr">
        <is>
          <t>RF-07</t>
        </is>
      </c>
      <c r="E7" s="47" t="n"/>
      <c r="F7" s="45">
        <f>IF($A7="","",IF(AND($D7="",$E7=""),"Hallazgo sin destino",IF($D7="","Sin requisito, justificado","Deriva requisito")))</f>
        <v/>
      </c>
    </row>
    <row r="8" ht="33.75" customHeight="1" s="31">
      <c r="A8" s="46" t="inlineStr">
        <is>
          <t>H-04</t>
        </is>
      </c>
      <c r="B8" s="46" t="inlineStr">
        <is>
          <t>La precedencia entre los directorios de la herramienta es inversa a la de los archivos del proyecto</t>
        </is>
      </c>
      <c r="C8" s="46" t="n"/>
      <c r="D8" s="46" t="inlineStr">
        <is>
          <t>RF-04, RNF-06</t>
        </is>
      </c>
      <c r="E8" s="46" t="n"/>
      <c r="F8" s="45">
        <f>IF($A8="","",IF(AND($D8="",$E8=""),"Hallazgo sin destino",IF($D8="","Sin requisito, justificado","Deriva requisito")))</f>
        <v/>
      </c>
    </row>
    <row r="9" ht="33.75" customHeight="1" s="31">
      <c r="A9" s="47" t="inlineStr">
        <is>
          <t>H-05</t>
        </is>
      </c>
      <c r="B9" s="47" t="inlineStr">
        <is>
          <t>Los permisos se resuelven por lista ordenada y decide la última coincidencia, sin criterio de especificidad</t>
        </is>
      </c>
      <c r="C9" s="47" t="n"/>
      <c r="D9" s="47" t="inlineStr">
        <is>
          <t>RF-02, RF-07, RNF-02</t>
        </is>
      </c>
      <c r="E9" s="47" t="n"/>
      <c r="F9" s="45">
        <f>IF($A9="","",IF(AND($D9="",$E9=""),"Hallazgo sin destino",IF($D9="","Sin requisito, justificado","Deriva requisito")))</f>
        <v/>
      </c>
    </row>
    <row r="10" ht="33.75" customHeight="1" s="31">
      <c r="A10" s="46" t="inlineStr">
        <is>
          <t>H-06</t>
        </is>
      </c>
      <c r="B10" s="46" t="inlineStr">
        <is>
          <t>Al fusionar dos entradas, la posición de una clave la fija la primera que la declara y su valor, la última</t>
        </is>
      </c>
      <c r="C10" s="46" t="n"/>
      <c r="D10" s="46" t="inlineStr">
        <is>
          <t>RF-01, RF-12</t>
        </is>
      </c>
      <c r="E10" s="46" t="n"/>
      <c r="F10" s="45">
        <f>IF($A10="","",IF(AND($D10="",$E10=""),"Hallazgo sin destino",IF($D10="","Sin requisito, justificado","Deriva requisito")))</f>
        <v/>
      </c>
    </row>
    <row r="11" ht="33.75" customHeight="1" s="31">
      <c r="A11" s="47" t="inlineStr">
        <is>
          <t>H-07</t>
        </is>
      </c>
      <c r="B11" s="47" t="inlineStr">
        <is>
          <t>Las reglas declaradas se concatenan después de las nativas, de modo que una declaración amplia desactiva una protección</t>
        </is>
      </c>
      <c r="C11" s="47" t="n"/>
      <c r="D11" s="47" t="inlineStr">
        <is>
          <t>RF-02, RF-06, RF-09</t>
        </is>
      </c>
      <c r="E11" s="47" t="n"/>
      <c r="F11" s="45">
        <f>IF($A11="","",IF(AND($D11="",$E11=""),"Hallazgo sin destino",IF($D11="","Sin requisito, justificado","Deriva requisito")))</f>
        <v/>
      </c>
    </row>
    <row r="12" ht="33.75" customHeight="1" s="31">
      <c r="A12" s="46" t="inlineStr">
        <is>
          <t>H-08</t>
        </is>
      </c>
      <c r="B12" s="46" t="inlineStr">
        <is>
          <t>Una denegación de patrón general oculta la herramienta al modelo en lugar de limitarse a denegar la acción</t>
        </is>
      </c>
      <c r="C12" s="46" t="n"/>
      <c r="D12" s="46" t="inlineStr">
        <is>
          <t>RF-10</t>
        </is>
      </c>
      <c r="E12" s="46" t="n"/>
      <c r="F12" s="45">
        <f>IF($A12="","",IF(AND($D12="",$E12=""),"Hallazgo sin destino",IF($D12="","Sin requisito, justificado","Deriva requisito")))</f>
        <v/>
      </c>
    </row>
    <row r="13" ht="33.75" customHeight="1" s="31">
      <c r="A13" s="47" t="inlineStr">
        <is>
          <t>H-09</t>
        </is>
      </c>
      <c r="B13" s="47" t="inlineStr">
        <is>
          <t>Ninguno de los comandos nativos de introspección informa el origen de un valor ni evalúa una decisión concreta</t>
        </is>
      </c>
      <c r="C13" s="47" t="n"/>
      <c r="D13" s="47" t="inlineStr">
        <is>
          <t>RF-06</t>
        </is>
      </c>
      <c r="E13" s="47" t="n"/>
      <c r="F13" s="45">
        <f>IF($A13="","",IF(AND($D13="",$E13=""),"Hallazgo sin destino",IF($D13="","Sin requisito, justificado","Deriva requisito")))</f>
        <v/>
      </c>
    </row>
    <row r="14" ht="33.75" customHeight="1" s="31">
      <c r="A14" s="46" t="inlineStr">
        <is>
          <t>H-10</t>
        </is>
      </c>
      <c r="B14" s="46" t="inlineStr">
        <is>
          <t>El repositorio contiene dos motores de evaluación de permisos; en la versión 1.18.25 la decisión la produce el segundo de ellos, mientras que el comando de resolución por agente presenta las reglas con el formato del primero</t>
        </is>
      </c>
      <c r="C14" s="46" t="n"/>
      <c r="D14" s="46" t="inlineStr">
        <is>
          <t>RNF-02</t>
        </is>
      </c>
      <c r="E14" s="46" t="n"/>
      <c r="F14" s="45">
        <f>IF($A14="","",IF(AND($D14="",$E14=""),"Hallazgo sin destino",IF($D14="","Sin requisito, justificado","Deriva requisito")))</f>
        <v/>
      </c>
    </row>
    <row r="15" ht="33.75" customHeight="1" s="31">
      <c r="A15" s="47" t="inlineStr">
        <is>
          <t>H-11</t>
        </is>
      </c>
      <c r="B15" s="47" t="inlineStr">
        <is>
          <t>Una aprobación permanente conserva el texto literal, subsiste entre sesiones y no revierte una denegación declarada</t>
        </is>
      </c>
      <c r="C15" s="47" t="n"/>
      <c r="D15" s="47" t="inlineStr">
        <is>
          <t>RF-02</t>
        </is>
      </c>
      <c r="E15" s="47" t="n"/>
      <c r="F15" s="45">
        <f>IF($A15="","",IF(AND($D15="",$E15=""),"Hallazgo sin destino",IF($D15="","Sin requisito, justificado","Deriva requisito")))</f>
        <v/>
      </c>
    </row>
    <row r="16" ht="33.75" customHeight="1" s="31">
      <c r="A16" s="46" t="inlineStr">
        <is>
          <t>H-12</t>
        </is>
      </c>
      <c r="B16" s="46" t="inlineStr">
        <is>
          <t>El subagente hereda del agente que lo invoca únicamente las reglas de denegación y las de directorio externo</t>
        </is>
      </c>
      <c r="C16" s="46" t="n"/>
      <c r="D16" s="46" t="inlineStr">
        <is>
          <t>RF-02</t>
        </is>
      </c>
      <c r="E16" s="46" t="n"/>
      <c r="F16" s="45">
        <f>IF($A16="","",IF(AND($D16="",$E16=""),"Hallazgo sin destino",IF($D16="","Sin requisito, justificado","Deriva requisito")))</f>
        <v/>
      </c>
    </row>
    <row r="17" ht="33.75" customHeight="1" s="31">
      <c r="A17" s="47" t="inlineStr">
        <is>
          <t>H-13</t>
        </is>
      </c>
      <c r="B17" s="47" t="inlineStr">
        <is>
          <t>Una sustitución que referencia una variable no definida se reemplaza por una cadena vacía sin advertencia</t>
        </is>
      </c>
      <c r="C17" s="47" t="n"/>
      <c r="D17" s="47" t="inlineStr">
        <is>
          <t>RF-07</t>
        </is>
      </c>
      <c r="E17" s="47" t="n"/>
      <c r="F17" s="45">
        <f>IF($A17="","",IF(AND($D17="",$E17=""),"Hallazgo sin destino",IF($D17="","Sin requisito, justificado","Deriva requisito")))</f>
        <v/>
      </c>
    </row>
    <row r="18" ht="33.75" customHeight="1" s="31">
      <c r="A18" s="46" t="inlineStr">
        <is>
          <t>H-14</t>
        </is>
      </c>
      <c r="B18" s="46" t="inlineStr">
        <is>
          <t>Una variable de entorno de configuración con contenido inválido se descarta sin error visible</t>
        </is>
      </c>
      <c r="C18" s="46" t="n"/>
      <c r="D18" s="46" t="inlineStr">
        <is>
          <t>RF-07</t>
        </is>
      </c>
      <c r="E18" s="46" t="n"/>
      <c r="F18" s="45">
        <f>IF($A18="","",IF(AND($D18="",$E18=""),"Hallazgo sin destino",IF($D18="","Sin requisito, justificado","Deriva requisito")))</f>
        <v/>
      </c>
    </row>
    <row r="19" ht="33.75" customHeight="1" s="31">
      <c r="A19" s="47" t="inlineStr">
        <is>
          <t>H-15</t>
        </is>
      </c>
      <c r="B19" s="47" t="inlineStr">
        <is>
          <t>El comando de terminal se descompone en un árbol sintáctico y se evalúa por sub-comando</t>
        </is>
      </c>
      <c r="C19" s="47" t="n"/>
      <c r="D19" s="47" t="inlineStr">
        <is>
          <t>RF-08</t>
        </is>
      </c>
      <c r="E19" s="47" t="n"/>
      <c r="F19" s="45">
        <f>IF($A19="","",IF(AND($D19="",$E19=""),"Hallazgo sin destino",IF($D19="","Sin requisito, justificado","Deriva requisito")))</f>
        <v/>
      </c>
    </row>
    <row r="20" ht="33.75" customHeight="1" s="31">
      <c r="A20" s="46" t="inlineStr">
        <is>
          <t>H-16</t>
        </is>
      </c>
      <c r="B20" s="46" t="inlineStr">
        <is>
          <t>Las instrucciones declaradas en subdirectorios se incorporan durante la sesión según los archivos que el agente lee</t>
        </is>
      </c>
      <c r="C20" s="46" t="n"/>
      <c r="D20" s="46" t="n"/>
      <c r="E20" s="46" t="inlineStr">
        <is>
          <t>Las instrucciones de subdirectorios quedan fuera del alcance (III.4), porque se incorporan durante la sesión según los archivos que el agente lee; no derivan requisito</t>
        </is>
      </c>
      <c r="F20" s="45">
        <f>IF($A20="","",IF(AND($D20="",$E20=""),"Hallazgo sin destino",IF($D20="","Sin requisito, justificado","Deriva requisito")))</f>
        <v/>
      </c>
    </row>
    <row r="21" ht="33.75" customHeight="1" s="31">
      <c r="A21" s="47" t="inlineStr">
        <is>
          <t>H-17</t>
        </is>
      </c>
      <c r="B21" s="47" t="inlineStr">
        <is>
          <t>El conjunto de herramientas ofrecido para un mismo agente y proyecto difiere según el modo de ejecución de la herramienta</t>
        </is>
      </c>
      <c r="C21" s="47" t="n"/>
      <c r="D21" s="47" t="n"/>
      <c r="E21" s="47" t="inlineStr">
        <is>
          <t>Mismo fundamento que H-16: depende de cómo se ejecute la herramienta y no de la configuración analizada</t>
        </is>
      </c>
      <c r="F21" s="45">
        <f>IF($A21="","",IF(AND($D21="",$E21=""),"Hallazgo sin destino",IF($D21="","Sin requisito, justificado","Deriva requisito")))</f>
        <v/>
      </c>
    </row>
    <row r="22" ht="33.75" customHeight="1" s="31">
      <c r="A22" s="46" t="inlineStr">
        <is>
          <t>H-18</t>
        </is>
      </c>
      <c r="B22" s="46" t="inlineStr">
        <is>
          <t>Existencia de agentes que la herramienta invoca internamente sin declaración del usuario</t>
        </is>
      </c>
      <c r="C22" s="46" t="n"/>
      <c r="D22" s="46" t="inlineStr">
        <is>
          <t>RF-16</t>
        </is>
      </c>
      <c r="E22" s="46" t="inlineStr">
        <is>
          <t>Deriva con condición (Anexo III, D-51): la identificación de los agentes nativos que exige RF-16 se sostiene en la verificación propia de este resultado, que se ejecuta en la segunda iteración; el listado de los agentes declarados no depende de ella</t>
        </is>
      </c>
      <c r="F22" s="45">
        <f>IF($A22="","",IF(AND($D22="",$E22=""),"Hallazgo sin destino",IF($D22="","Sin requisito, justificado","Deriva requisito")))</f>
        <v/>
      </c>
    </row>
    <row r="23" ht="33.75" customHeight="1" s="31">
      <c r="A23" s="47" t="inlineStr">
        <is>
          <t>H-19</t>
        </is>
      </c>
      <c r="B23" s="47" t="inlineStr">
        <is>
          <t>Comportamiento de la frontera de directorio desde la herramienta de terminal en Ubuntu (pendiente de reproducción en Ubuntu)</t>
        </is>
      </c>
      <c r="C23" s="47" t="n"/>
      <c r="D23" s="47" t="inlineStr">
        <is>
          <t>RNF-06</t>
        </is>
      </c>
      <c r="E23" s="47" t="n"/>
      <c r="F23" s="45">
        <f>IF($A23="","",IF(AND($D23="",$E23=""),"Hallazgo sin destino",IF($D23="","Sin requisito, justificado","Deriva requisito")))</f>
        <v/>
      </c>
    </row>
    <row r="24" ht="33.75" customHeight="1" s="31">
      <c r="A24" s="46" t="inlineStr">
        <is>
          <t>H-20</t>
        </is>
      </c>
      <c r="B24" s="46" t="inlineStr">
        <is>
          <t>Posibilidad de que un plugin modifique la configuración fusionada en tiempo de carga (pendiente, fuera del alcance declarado en I.6.5)</t>
        </is>
      </c>
      <c r="C24" s="46" t="n"/>
      <c r="D24" s="46" t="n"/>
      <c r="E24" s="46" t="inlineStr">
        <is>
          <t>Pendiente y fuera del alcance: su determinación exige ejecutar código de terceros, contrario al modo de operación de solo lectura</t>
        </is>
      </c>
      <c r="F24" s="45">
        <f>IF($A24="","",IF(AND($D24="",$E24=""),"Hallazgo sin destino",IF($D24="","Sin requisito, justificado","Deriva requisito")))</f>
        <v/>
      </c>
    </row>
    <row r="25" ht="33.75" customHeight="1" s="31">
      <c r="A25" s="47" t="inlineStr">
        <is>
          <t>H-21</t>
        </is>
      </c>
      <c r="B25" s="47" t="inlineStr">
        <is>
          <t>Comportamiento de la configuración administrada y de la configuración remota</t>
        </is>
      </c>
      <c r="C25" s="47" t="n"/>
      <c r="D25" s="47" t="n"/>
      <c r="E25" s="47" t="inlineStr">
        <is>
          <t>Fuera del alcance declarado: exige privilegios administrativos y es ajena a la frontera individual del sistema</t>
        </is>
      </c>
      <c r="F25" s="45">
        <f>IF($A25="","",IF(AND($D25="",$E25=""),"Hallazgo sin destino",IF($D25="","Sin requisito, justificado","Deriva requisito")))</f>
        <v/>
      </c>
    </row>
    <row r="26" ht="33.75" customHeight="1" s="31">
      <c r="A26" s="46" t="inlineStr">
        <is>
          <t>H-22</t>
        </is>
      </c>
      <c r="B26" s="46" t="inlineStr">
        <is>
          <t>La configuración global admite tres archivos, config.json, opencode.json y opencode.jsonc, que se fusionan en ese orden; el criterio del primer archivo que exista rige solo para crear el archivo inicial</t>
        </is>
      </c>
      <c r="C26" s="46" t="n"/>
      <c r="D26" s="46" t="inlineStr">
        <is>
          <t>RF-04</t>
        </is>
      </c>
      <c r="E26" s="46" t="n"/>
      <c r="F26" s="45">
        <f>IF($A26="","",IF(AND($D26="",$E26=""),"Hallazgo sin destino",IF($D26="","Sin requisito, justificado","Deriva requisito")))</f>
        <v/>
      </c>
    </row>
    <row r="27" ht="33.75" customHeight="1" s="31">
      <c r="A27" s="47" t="inlineStr">
        <is>
          <t>H-23</t>
        </is>
      </c>
      <c r="B27" s="47" t="inlineStr">
        <is>
          <t>Al arrancar, la herramienta escribe en los directorios de configuración: crea el archivo global si no existe, agrega un archivo .gitignore e instala el paquete \@opencode-ai/plugin</t>
        </is>
      </c>
      <c r="C27" s="47" t="n"/>
      <c r="D27" s="47" t="n"/>
      <c r="E27" s="47" t="inlineStr">
        <is>
          <t>RIGE no ejecuta la herramienta; condiciona la generación del oráculo</t>
        </is>
      </c>
      <c r="F27" s="45">
        <f>IF($A27="","",IF(AND($D27="",$E27=""),"Hallazgo sin destino",IF($D27="","Sin requisito, justificado","Deriva requisito")))</f>
        <v/>
      </c>
    </row>
    <row r="28" ht="33.75" customHeight="1" s="31">
      <c r="A28" s="46" t="inlineStr">
        <is>
          <t>HA-1</t>
        </is>
      </c>
      <c r="B28" s="46" t="inlineStr">
        <is>
          <t>El mecanismo que produce la dificultad está técnicamente acreditado y es más extenso que el documentado</t>
        </is>
      </c>
      <c r="C28" s="46" t="n"/>
      <c r="D28" s="46" t="inlineStr">
        <is>
          <t>RF-05</t>
        </is>
      </c>
      <c r="E28" s="46" t="n"/>
      <c r="F28" s="45">
        <f>IF($A28="","",IF(AND($D28="",$E28=""),"Hallazgo sin destino",IF($D28="","Sin requisito, justificado","Deriva requisito")))</f>
        <v/>
      </c>
    </row>
    <row r="29" ht="33.75" customHeight="1" s="31">
      <c r="A29" s="47" t="inlineStr">
        <is>
          <t>HA-2</t>
        </is>
      </c>
      <c r="B29" s="47" t="inlineStr">
        <is>
          <t>La dificultad ocurre en la práctica: 32 incidencias registradas entre 11/2025 y 09/2026; piso de ocurrencia; relevamiento propio sobre incidencias públicas de OpenCode, 32 incluidas de 46 candidatas, sin segundo codificador (II.6.3; A.I.6)</t>
        </is>
      </c>
      <c r="C29" s="47" t="n"/>
      <c r="D29" s="47" t="n"/>
      <c r="E29" s="47" t="inlineStr">
        <is>
          <t>Acredita la ocurrencia del problema y sostiene el enunciado del apartado I.3.1 del informe de la AE1; no especifica una capacidad del sistema</t>
        </is>
      </c>
      <c r="F29" s="45">
        <f>IF($A29="","",IF(AND($D29="",$E29=""),"Hallazgo sin destino",IF($D29="","Sin requisito, justificado","Deriva requisito")))</f>
        <v/>
      </c>
    </row>
    <row r="30" ht="33.75" customHeight="1" s="31">
      <c r="A30" s="46" t="inlineStr">
        <is>
          <t>HA-3</t>
        </is>
      </c>
      <c r="B30" s="46" t="inlineStr">
        <is>
          <t>Un equipo identificado experimenta la dificultad y relata prácticas propias, entre ellas la consulta programática de su propia configuración</t>
        </is>
      </c>
      <c r="C30" s="46" t="n"/>
      <c r="D30" s="46" t="inlineStr">
        <is>
          <t>RF-03, RNF-07, RNF-08</t>
        </is>
      </c>
      <c r="E30" s="46" t="n"/>
      <c r="F30" s="45">
        <f>IF($A30="","",IF(AND($D30="",$E30=""),"Hallazgo sin destino",IF($D30="","Sin requisito, justificado","Deriva requisito")))</f>
        <v/>
      </c>
    </row>
    <row r="31" ht="33.75" customHeight="1" s="31">
      <c r="A31" s="47" t="inlineStr">
        <is>
          <t>HA-4</t>
        </is>
      </c>
      <c r="B31" s="47" t="inlineStr">
        <is>
          <t>La dificultad no es privativa de OpenCode</t>
        </is>
      </c>
      <c r="C31" s="47" t="n"/>
      <c r="D31" s="47" t="inlineStr">
        <is>
          <t>RNF-03</t>
        </is>
      </c>
      <c r="E31" s="47" t="n"/>
      <c r="F31" s="45">
        <f>IF($A31="","",IF(AND($D31="",$E31=""),"Hallazgo sin destino",IF($D31="","Sin requisito, justificado","Deriva requisito")))</f>
        <v/>
      </c>
    </row>
    <row r="32" ht="33.75" customHeight="1" s="31">
      <c r="A32" s="46" t="inlineStr">
        <is>
          <t>HA-5</t>
        </is>
      </c>
      <c r="B32" s="46" t="inlineStr">
        <is>
          <t>Ninguna solución existente explica una decisión de permiso, y la información de procedencia ya se calcula sin exponerse</t>
        </is>
      </c>
      <c r="C32" s="46" t="n"/>
      <c r="D32" s="46" t="inlineStr">
        <is>
          <t>RF-02, RF-06</t>
        </is>
      </c>
      <c r="E32" s="46" t="n"/>
      <c r="F32" s="45">
        <f>IF($A32="","",IF(AND($D32="",$E32=""),"Hallazgo sin destino",IF($D32="","Sin requisito, justificado","Deriva requisito")))</f>
        <v/>
      </c>
    </row>
    <row r="33" ht="33.75" customHeight="1" s="31">
      <c r="A33" s="47" t="inlineStr">
        <is>
          <t>HA-6</t>
        </is>
      </c>
      <c r="B33" s="47" t="inlineStr">
        <is>
          <t>La magnitud del problema todavía no está establecida</t>
        </is>
      </c>
      <c r="C33" s="47" t="n"/>
      <c r="D33" s="47" t="n"/>
      <c r="E33" s="47" t="inlineStr">
        <is>
          <t>No describe una carencia del sistema sino un estado pendiente del relevamiento. Su consecuencia recae sobre las metas cuantificadas del criterio de éxito y no sobre la especificación; los requisitos de este catálogo se trazan a hallazgos que no dependen de la medición</t>
        </is>
      </c>
      <c r="F33" s="45">
        <f>IF($A33="","",IF(AND($D33="",$E33=""),"Hallazgo sin destino",IF($D33="","Sin requisito, justificado","Deriva requisito")))</f>
        <v/>
      </c>
    </row>
    <row r="34" ht="33.75" customHeight="1" s="31">
      <c r="A34" s="46" t="inlineStr">
        <is>
          <t>F3, F5 y F6</t>
        </is>
      </c>
      <c r="B34" s="46" t="inlineStr">
        <is>
          <t>Funciones declaradas en el apartado I.6.2 del informe de la AE1 que ninguna consulta relevada exige de manera directa</t>
        </is>
      </c>
      <c r="C34" s="46" t="n"/>
      <c r="D34" s="46" t="inlineStr">
        <is>
          <t>RF-11, RF-13, RF-14, RF-15</t>
        </is>
      </c>
      <c r="E34" s="46" t="n"/>
      <c r="F34" s="45">
        <f>IF($A34="","",IF(AND($D34="",$E34=""),"Hallazgo sin destino",IF($D34="","Sin requisito, justificado","Deriva requisito")))</f>
        <v/>
      </c>
    </row>
    <row r="35" ht="33.75" customHeight="1" s="31">
      <c r="A35" s="47" t="inlineStr">
        <is>
          <t>E-01</t>
        </is>
      </c>
      <c r="B35" s="47" t="inlineStr">
        <is>
          <t>Acuerdo del acta: el agente de programación es un sistema vecino que consume una salida estructurada, determinista y legible por máquina, con ruta y posición exactas, esquema versionado y códigos de salida que distinguen el error de la ausencia de resultado</t>
        </is>
      </c>
      <c r="C35" s="47" t="n"/>
      <c r="D35" s="47" t="inlineStr">
        <is>
          <t>RF-03 (CA-6), RF-05, RF-08, RNF-08</t>
        </is>
      </c>
      <c r="E35" s="47" t="n"/>
      <c r="F35" s="45">
        <f>IF($A35="","",IF(AND($D35="",$E35=""),"Hallazgo sin destino",IF($D35="","Sin requisito, justificado","Deriva requisito")))</f>
        <v/>
      </c>
    </row>
    <row r="36" ht="33.75" customHeight="1" s="31">
      <c r="A36" s="46" t="inlineStr">
        <is>
          <t>E-02</t>
        </is>
      </c>
      <c r="B36" s="46" t="inlineStr">
        <is>
          <t>Acuerdo del acta: cada resultado declara sobre qué estado de las entradas se obtuvo, identificado por un resumen del conjunto leído</t>
        </is>
      </c>
      <c r="C36" s="46" t="n"/>
      <c r="D36" s="46" t="inlineStr">
        <is>
          <t>RF-17</t>
        </is>
      </c>
      <c r="E36" s="46" t="inlineStr">
        <is>
          <t>— (Anexo III, D-58; antes condición de diseño del Capítulo VI)</t>
        </is>
      </c>
      <c r="F36" s="45">
        <f>IF($A36="","",IF(AND($D36="",$E36=""),"Hallazgo sin destino",IF($D36="","Sin requisito, justificado","Deriva requisito")))</f>
        <v/>
      </c>
    </row>
    <row r="37" ht="33.75" customHeight="1" s="31">
      <c r="A37" s="47" t="inlineStr">
        <is>
          <t>L-01</t>
        </is>
      </c>
      <c r="B37" s="47" t="inlineStr">
        <is>
          <t>Acuerdo del acta: RIGE no edita los archivos de configuración</t>
        </is>
      </c>
      <c r="C37" s="47" t="n"/>
      <c r="D37" s="47" t="inlineStr">
        <is>
          <t>RNF-01</t>
        </is>
      </c>
      <c r="E37" s="47" t="n"/>
      <c r="F37" s="45">
        <f>IF($A37="","",IF(AND($D37="",$E37=""),"Hallazgo sin destino",IF($D37="","Sin requisito, justificado","Deriva requisito")))</f>
        <v/>
      </c>
    </row>
    <row r="38" ht="33.75" customHeight="1" s="31">
      <c r="A38" s="46" t="inlineStr">
        <is>
          <t>L-02</t>
        </is>
      </c>
      <c r="B38" s="46" t="inlineStr">
        <is>
          <t>Acuerdo del acta: los comandos de terminal compuestos quedan fuera del alcance</t>
        </is>
      </c>
      <c r="C38" s="46" t="n"/>
      <c r="D38" s="46" t="inlineStr">
        <is>
          <t>RF-08</t>
        </is>
      </c>
      <c r="E38" s="46" t="n"/>
      <c r="F38" s="45">
        <f>IF($A38="","",IF(AND($D38="",$E38=""),"Hallazgo sin destino",IF($D38="","Sin requisito, justificado","Deriva requisito")))</f>
        <v/>
      </c>
    </row>
    <row r="39" ht="33.75" customHeight="1" s="31">
      <c r="A39" s="47" t="inlineStr">
        <is>
          <t>L-03</t>
        </is>
      </c>
      <c r="B39" s="47" t="inlineStr">
        <is>
          <t>Acuerdo del acta: las credenciales de autenticación quedan fuera del alcance</t>
        </is>
      </c>
      <c r="C39" s="47" t="n"/>
      <c r="D39" s="47" t="inlineStr">
        <is>
          <t>RNF-04</t>
        </is>
      </c>
      <c r="E39" s="47" t="n"/>
      <c r="F39" s="45">
        <f>IF($A39="","",IF(AND($D39="",$E39=""),"Hallazgo sin destino",IF($D39="","Sin requisito, justificado","Deriva requisito")))</f>
        <v/>
      </c>
    </row>
    <row r="40" ht="33.75" customHeight="1" s="31">
      <c r="A40" s="46" t="inlineStr">
        <is>
          <t>L-04</t>
        </is>
      </c>
      <c r="B40" s="46" t="inlineStr">
        <is>
          <t>Acuerdo del acta: el uso es individual y local</t>
        </is>
      </c>
      <c r="C40" s="46" t="n"/>
      <c r="D40" s="46" t="inlineStr">
        <is>
          <t>RNF-05, RNF-09</t>
        </is>
      </c>
      <c r="E40" s="46" t="n"/>
      <c r="F40" s="45">
        <f>IF($A40="","",IF(AND($D40="",$E40=""),"Hallazgo sin destino",IF($D40="","Sin requisito, justificado","Deriva requisito")))</f>
        <v/>
      </c>
    </row>
    <row r="41" ht="33.75" customHeight="1" s="31">
      <c r="A41" s="47" t="inlineStr">
        <is>
          <t>L-05</t>
        </is>
      </c>
      <c r="B41" s="47" t="inlineStr">
        <is>
          <t>Acuerdo del acta: el alcance se circunscribe a OpenCode 1.18.25</t>
        </is>
      </c>
      <c r="C41" s="47" t="n"/>
      <c r="D41" s="47" t="inlineStr">
        <is>
          <t>RF-05</t>
        </is>
      </c>
      <c r="E41" s="47" t="n"/>
      <c r="F41" s="45">
        <f>IF($A41="","",IF(AND($D41="",$E41=""),"Hallazgo sin destino",IF($D41="","Sin requisito, justificado","Deriva requisito")))</f>
        <v/>
      </c>
    </row>
    <row r="42" ht="33.75" customHeight="1" s="31">
      <c r="A42" s="46" t="inlineStr">
        <is>
          <t>L-06</t>
        </is>
      </c>
      <c r="B42" s="46" t="inlineStr">
        <is>
          <t>Acuerdo del acta: la línea de comandos es la interfaz completa y expone valores, decisiones de permiso y hallazgos, con una salida ajustada a un esquema versionado y la explicación a pedido</t>
        </is>
      </c>
      <c r="C42" s="46" t="n"/>
      <c r="D42" s="46" t="inlineStr">
        <is>
          <t>RF-02, RF-03, RF-07, RF-14, RF-16, RNF-08</t>
        </is>
      </c>
      <c r="E42" s="46" t="inlineStr">
        <is>
          <t>Precisada (29/09/2026; Anexo III, D-51 y D-54): el listado de agentes (RF-16) y el estado completo (RF-14) se incorporan a la línea de comandos; validada en la extensión del acta</t>
        </is>
      </c>
      <c r="F42" s="45">
        <f>IF($A42="","",IF(AND($D42="",$E42=""),"Hallazgo sin destino",IF($D42="","Sin requisito, justificado","Deriva requisito")))</f>
        <v/>
      </c>
    </row>
    <row r="43" ht="33.75" customHeight="1" s="31">
      <c r="A43" s="47" t="inlineStr">
        <is>
          <t>L-07 y L-09</t>
        </is>
      </c>
      <c r="B43" s="47" t="inlineStr">
        <is>
          <t>Acuerdos del acta sobre la no intervención en los cambios del agente, la comparación entre estados y la validación contra el esquema de configuración de la herramienta</t>
        </is>
      </c>
      <c r="C43" s="47" t="n"/>
      <c r="D43" s="47" t="n"/>
      <c r="E43" s="47" t="inlineStr">
        <is>
          <t>Delimitan el catálogo sin especificar capacidad alguna: su efecto consta en la tabla de límites del apartado III.4</t>
        </is>
      </c>
      <c r="F43" s="45">
        <f>IF($A43="","",IF(AND($D43="",$E43=""),"Hallazgo sin destino",IF($D43="","Sin requisito, justificado","Deriva requisito")))</f>
        <v/>
      </c>
    </row>
    <row r="44" ht="33.75" customHeight="1" s="31">
      <c r="A44" s="46" t="inlineStr">
        <is>
          <t>L-08</t>
        </is>
      </c>
      <c r="B44" s="46" t="inlineStr">
        <is>
          <t>Acuerdo del acta: vocabulario del proyecto</t>
        </is>
      </c>
      <c r="C44" s="46" t="n"/>
      <c r="D44" s="46" t="n"/>
      <c r="E44" s="46" t="inlineStr">
        <is>
          <t>Fija la terminología del informe y de la interfaz; su efecto consta en el glosario del dominio</t>
        </is>
      </c>
      <c r="F44" s="45">
        <f>IF($A44="","",IF(AND($D44="",$E44=""),"Hallazgo sin destino",IF($D44="","Sin requisito, justificado","Deriva requisito")))</f>
        <v/>
      </c>
    </row>
    <row r="45" ht="33.75" customHeight="1" s="31">
      <c r="A45" s="47" t="inlineStr">
        <is>
          <t>L-10</t>
        </is>
      </c>
      <c r="B45" s="47" t="inlineStr">
        <is>
          <t>Acuerdo del acta: dos interfaces sobre el mismo núcleo; la línea de comandos es completa y la interfaz web local se limita a formularios y vistas de consulta</t>
        </is>
      </c>
      <c r="C45" s="47" t="n"/>
      <c r="D45" s="47" t="inlineStr">
        <is>
          <t>RF-02, RF-03, RF-07</t>
        </is>
      </c>
      <c r="E45" s="47" t="n"/>
      <c r="F45" s="45">
        <f>IF($A45="","",IF(AND($D45="",$E45=""),"Hallazgo sin destino",IF($D45="","Sin requisito, justificado","Deriva requisito")))</f>
        <v/>
      </c>
    </row>
    <row r="46" ht="33.75" customHeight="1" s="31">
      <c r="A46" s="46" t="inlineStr">
        <is>
          <t>L-11</t>
        </is>
      </c>
      <c r="B46" s="46" t="inlineStr">
        <is>
          <t>Acuerdo del acta: el sistema opera sobre Ubuntu 26.04 y Windows 11 y se instala sin privilegios administrativos</t>
        </is>
      </c>
      <c r="C46" s="46" t="n"/>
      <c r="D46" s="46" t="inlineStr">
        <is>
          <t>RNF-06</t>
        </is>
      </c>
      <c r="E46" s="46" t="n"/>
      <c r="F46" s="45">
        <f>IF($A46="","",IF(AND($D46="",$E46=""),"Hallazgo sin destino",IF($D46="","Sin requisito, justificado","Deriva requisito")))</f>
        <v/>
      </c>
    </row>
    <row r="47" ht="33.75" customHeight="1" s="31">
      <c r="A47" s="47" t="inlineStr">
        <is>
          <t>L-12</t>
        </is>
      </c>
      <c r="B47" s="47" t="inlineStr">
        <is>
          <t>Acuerdo del acta: las relaciones entre elementos se difieren como capacidad posterior</t>
        </is>
      </c>
      <c r="C47" s="47" t="n"/>
      <c r="D47" s="47" t="inlineStr">
        <is>
          <t>RF-13</t>
        </is>
      </c>
      <c r="E47" s="47" t="n"/>
      <c r="F47" s="45">
        <f>IF($A47="","",IF(AND($D47="",$E47=""),"Hallazgo sin destino",IF($D47="","Sin requisito, justificado","Deriva requisito")))</f>
        <v/>
      </c>
    </row>
    <row r="48" ht="33.75" customHeight="1" s="31">
      <c r="A48" s="46" t="inlineStr">
        <is>
          <t>L-13</t>
        </is>
      </c>
      <c r="B48" s="46" t="inlineStr">
        <is>
          <t>Acuerdo del acta: la explicación se genera con plantillas deterministas, sin modelo de lenguaje</t>
        </is>
      </c>
      <c r="C48" s="46" t="n"/>
      <c r="D48" s="46" t="inlineStr">
        <is>
          <t>RF-02, RF-07</t>
        </is>
      </c>
      <c r="E48" s="46" t="n"/>
      <c r="F48" s="45">
        <f>IF($A48="","",IF(AND($D48="",$E48=""),"Hallazgo sin destino",IF($D48="","Sin requisito, justificado","Deriva requisito")))</f>
        <v/>
      </c>
    </row>
    <row r="49" ht="33.75" customHeight="1" s="31">
      <c r="A49" s="47" t="inlineStr">
        <is>
          <t>D-06, D-44</t>
        </is>
      </c>
      <c r="B49" s="47" t="inlineStr">
        <is>
          <t>Decisión del Anexo III: incorporar las funciones de evaluación de permisos de la herramienta, bajo su licencia</t>
        </is>
      </c>
      <c r="C49" s="47" t="n"/>
      <c r="D49" s="47" t="inlineStr">
        <is>
          <t>RNF-10</t>
        </is>
      </c>
      <c r="E49" s="47" t="n"/>
      <c r="F49" s="45">
        <f>IF($A49="","",IF(AND($D49="",$E49=""),"Hallazgo sin destino",IF($D49="","Sin requisito, justificado","Deriva requisito")))</f>
        <v/>
      </c>
    </row>
    <row r="50" ht="33.75" customHeight="1" s="31">
      <c r="A50" s="46" t="n"/>
      <c r="B50" s="46" t="n"/>
      <c r="C50" s="46" t="n"/>
      <c r="D50" s="46" t="n"/>
      <c r="E50" s="46" t="n"/>
      <c r="F50" s="45">
        <f>IF($A50="","",IF(AND($D50="",$E50=""),"Hallazgo sin destino",IF($D50="","Sin requisito, justificado","Deriva requisito")))</f>
        <v/>
      </c>
    </row>
    <row r="51" ht="33.75" customHeight="1" s="31">
      <c r="A51" s="47" t="n"/>
      <c r="B51" s="47" t="n"/>
      <c r="C51" s="47" t="n"/>
      <c r="D51" s="47" t="n"/>
      <c r="E51" s="47" t="n"/>
      <c r="F51" s="45">
        <f>IF($A51="","",IF(AND($D51="",$E51=""),"Hallazgo sin destino",IF($D51="","Sin requisito, justificado","Deriva requisito")))</f>
        <v/>
      </c>
    </row>
    <row r="52" ht="33.75" customHeight="1" s="31">
      <c r="A52" s="46" t="n"/>
      <c r="B52" s="46" t="n"/>
      <c r="C52" s="46" t="n"/>
      <c r="D52" s="46" t="n"/>
      <c r="E52" s="46" t="n"/>
      <c r="F52" s="45">
        <f>IF($A52="","",IF(AND($D52="",$E52=""),"Hallazgo sin destino",IF($D52="","Sin requisito, justificado","Deriva requisito")))</f>
        <v/>
      </c>
    </row>
    <row r="53" ht="33.75" customHeight="1" s="31">
      <c r="A53" s="47" t="n"/>
      <c r="B53" s="47" t="n"/>
      <c r="C53" s="47" t="n"/>
      <c r="D53" s="47" t="n"/>
      <c r="E53" s="47" t="n"/>
      <c r="F53" s="45">
        <f>IF($A53="","",IF(AND($D53="",$E53=""),"Hallazgo sin destino",IF($D53="","Sin requisito, justificado","Deriva requisito")))</f>
        <v/>
      </c>
    </row>
    <row r="54" ht="33.75" customHeight="1" s="31">
      <c r="A54" s="46" t="n"/>
      <c r="B54" s="46" t="n"/>
      <c r="C54" s="46" t="n"/>
      <c r="D54" s="46" t="n"/>
      <c r="E54" s="46" t="n"/>
      <c r="F54" s="45">
        <f>IF($A54="","",IF(AND($D54="",$E54=""),"Hallazgo sin destino",IF($D54="","Sin requisito, justificado","Deriva requisito")))</f>
        <v/>
      </c>
    </row>
    <row r="55" ht="33.75" customHeight="1" s="31">
      <c r="A55" s="47" t="n"/>
      <c r="B55" s="47" t="n"/>
      <c r="C55" s="47" t="n"/>
      <c r="D55" s="47" t="n"/>
      <c r="E55" s="47" t="n"/>
      <c r="F55" s="45">
        <f>IF($A55="","",IF(AND($D55="",$E55=""),"Hallazgo sin destino",IF($D55="","Sin requisito, justificado","Deriva requisito")))</f>
        <v/>
      </c>
    </row>
    <row r="56" ht="33.75" customHeight="1" s="31">
      <c r="A56" s="46" t="n"/>
      <c r="B56" s="46" t="n"/>
      <c r="C56" s="46" t="n"/>
      <c r="D56" s="46" t="n"/>
      <c r="E56" s="46" t="n"/>
      <c r="F56" s="45">
        <f>IF($A56="","",IF(AND($D56="",$E56=""),"Hallazgo sin destino",IF($D56="","Sin requisito, justificado","Deriva requisito")))</f>
        <v/>
      </c>
    </row>
    <row r="57" ht="33.75" customHeight="1" s="31">
      <c r="A57" s="47" t="n"/>
      <c r="B57" s="47" t="n"/>
      <c r="C57" s="47" t="n"/>
      <c r="D57" s="47" t="n"/>
      <c r="E57" s="47" t="n"/>
      <c r="F57" s="45">
        <f>IF($A57="","",IF(AND($D57="",$E57=""),"Hallazgo sin destino",IF($D57="","Sin requisito, justificado","Deriva requisito")))</f>
        <v/>
      </c>
    </row>
    <row r="58" ht="33.75" customHeight="1" s="31">
      <c r="A58" s="46" t="n"/>
      <c r="B58" s="46" t="n"/>
      <c r="C58" s="46" t="n"/>
      <c r="D58" s="46" t="n"/>
      <c r="E58" s="46" t="n"/>
      <c r="F58" s="45">
        <f>IF($A58="","",IF(AND($D58="",$E58=""),"Hallazgo sin destino",IF($D58="","Sin requisito, justificado","Deriva requisito")))</f>
        <v/>
      </c>
    </row>
    <row r="59" ht="33.75" customHeight="1" s="31">
      <c r="A59" s="47" t="n"/>
      <c r="B59" s="47" t="n"/>
      <c r="C59" s="47" t="n"/>
      <c r="D59" s="47" t="n"/>
      <c r="E59" s="47" t="n"/>
      <c r="F59" s="45">
        <f>IF($A59="","",IF(AND($D59="",$E59=""),"Hallazgo sin destino",IF($D59="","Sin requisito, justificado","Deriva requisito")))</f>
        <v/>
      </c>
    </row>
    <row r="60" ht="33.75" customHeight="1" s="31">
      <c r="A60" s="46" t="n"/>
      <c r="B60" s="46" t="n"/>
      <c r="C60" s="46" t="n"/>
      <c r="D60" s="46" t="n"/>
      <c r="E60" s="46" t="n"/>
      <c r="F60" s="45">
        <f>IF($A60="","",IF(AND($D60="",$E60=""),"Hallazgo sin destino",IF($D60="","Sin requisito, justificado","Deriva requisito")))</f>
        <v/>
      </c>
    </row>
    <row r="61" ht="33.75" customHeight="1" s="31">
      <c r="A61" s="47" t="n"/>
      <c r="B61" s="47" t="n"/>
      <c r="C61" s="47" t="n"/>
      <c r="D61" s="47" t="n"/>
      <c r="E61" s="47" t="n"/>
      <c r="F61" s="45">
        <f>IF($A61="","",IF(AND($D61="",$E61=""),"Hallazgo sin destino",IF($D61="","Sin requisito, justificado","Deriva requisito")))</f>
        <v/>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30" min="1" max="1"/>
    <col width="16" customWidth="1" style="30" min="2" max="2"/>
    <col width="18" customWidth="1" style="30" min="3" max="3"/>
    <col width="16" customWidth="1" style="30" min="4" max="4"/>
    <col width="26" customWidth="1" style="30" min="5" max="5"/>
    <col width="30" customWidth="1" style="30" min="6" max="6"/>
    <col width="32" customWidth="1" style="30" min="7" max="7"/>
  </cols>
  <sheetData>
    <row r="1" ht="19.5" customHeight="1" s="31">
      <c r="A1" s="32" t="inlineStr">
        <is>
          <t>Lista filtrada de entidades del dominio · Instrumento 28</t>
        </is>
      </c>
    </row>
    <row r="2" ht="25.5" customHeight="1" s="31">
      <c r="A2" s="33" t="inlineStr">
        <is>
          <t>Cada candidata pasa por el filtro de las tres preguntas. Las descartadas no se borran: se reclasifican, porque los descartes de hoy son las preguntas del glosario de mañana.</t>
        </is>
      </c>
    </row>
    <row r="4" ht="30" customHeight="1" s="31">
      <c r="A4" s="43" t="inlineStr">
        <is>
          <t>Candidata (sustantivo de la organización)</t>
        </is>
      </c>
      <c r="B4" s="43" t="inlineStr">
        <is>
          <t>¿Identidad propia?</t>
        </is>
      </c>
      <c r="C4" s="43" t="inlineStr">
        <is>
          <t>¿Datos y reglas propios?</t>
        </is>
      </c>
      <c r="D4" s="43" t="inlineStr">
        <is>
          <t>¿Dentro del recorte?</t>
        </is>
      </c>
      <c r="E4" s="43" t="inlineStr">
        <is>
          <t>Veredicto</t>
        </is>
      </c>
      <c r="F4" s="43" t="inlineStr">
        <is>
          <t>Fuente que la acredita</t>
        </is>
      </c>
      <c r="G4" s="43" t="inlineStr">
        <is>
          <t>Relaciones principales</t>
        </is>
      </c>
    </row>
    <row r="5" ht="61.5" customHeight="1" s="31">
      <c r="A5" s="44" t="inlineStr">
        <is>
          <t>Proyecto analizado</t>
        </is>
      </c>
      <c r="B5" s="44" t="n"/>
      <c r="C5" s="44" t="n"/>
      <c r="D5" s="44" t="n"/>
      <c r="E5" s="44" t="inlineStr">
        <is>
          <t>Entidad</t>
        </is>
      </c>
      <c r="F5" s="44" t="inlineStr">
        <is>
          <t>A.I.3, resultado 1</t>
        </is>
      </c>
      <c r="G5" s="44" t="inlineStr">
        <is>
          <t>Se resuelve en muchas resoluciones</t>
        </is>
      </c>
    </row>
    <row r="6" ht="33.75" customHeight="1" s="31">
      <c r="A6" s="46" t="inlineStr">
        <is>
          <t>Resolución</t>
        </is>
      </c>
      <c r="B6" s="46" t="n"/>
      <c r="C6" s="46" t="n"/>
      <c r="D6" s="46" t="n"/>
      <c r="E6" s="46" t="inlineStr">
        <is>
          <t>Entidad</t>
        </is>
      </c>
      <c r="F6" s="46" t="inlineStr">
        <is>
          <t>A.I.3, resultados 1 y 3</t>
        </is>
      </c>
      <c r="G6" s="46" t="inlineStr">
        <is>
          <t>Lee muchas entradas; comprende muchos elementos; produce muchos hallazgos</t>
        </is>
      </c>
    </row>
    <row r="7" ht="33.75" customHeight="1" s="31">
      <c r="A7" s="47" t="inlineStr">
        <is>
          <t>Entrada de configuración</t>
        </is>
      </c>
      <c r="B7" s="47" t="n"/>
      <c r="C7" s="47" t="n"/>
      <c r="D7" s="47" t="n"/>
      <c r="E7" s="47" t="inlineStr">
        <is>
          <t>Entidad</t>
        </is>
      </c>
      <c r="F7" s="47" t="inlineStr">
        <is>
          <t>A.I.3, resultado 1</t>
        </is>
      </c>
      <c r="G7" s="47" t="inlineStr">
        <is>
          <t>Contiene ninguna o muchas declaraciones</t>
        </is>
      </c>
    </row>
    <row r="8" ht="33.75" customHeight="1" s="31">
      <c r="A8" s="46" t="inlineStr">
        <is>
          <t>Declaración</t>
        </is>
      </c>
      <c r="B8" s="46" t="n"/>
      <c r="C8" s="46" t="n"/>
      <c r="D8" s="46" t="n"/>
      <c r="E8" s="46" t="inlineStr">
        <is>
          <t>Entidad</t>
        </is>
      </c>
      <c r="F8" s="46" t="inlineStr">
        <is>
          <t>A.I.3, resultados 3 y 6</t>
        </is>
      </c>
      <c r="G8" s="46" t="inlineStr">
        <is>
          <t>Compone uno o muchos elementos; puede desplazar a otra declaración; contiene sustituciones</t>
        </is>
      </c>
    </row>
    <row r="9" ht="33.75" customHeight="1" s="31">
      <c r="A9" s="47" t="inlineStr">
        <is>
          <t>Sustitución</t>
        </is>
      </c>
      <c r="B9" s="47" t="n"/>
      <c r="C9" s="47" t="n"/>
      <c r="D9" s="47" t="n"/>
      <c r="E9" s="47" t="inlineStr">
        <is>
          <t>Entidad</t>
        </is>
      </c>
      <c r="F9" s="47" t="inlineStr">
        <is>
          <t>A.I.3, resultado 13</t>
        </is>
      </c>
      <c r="G9" s="47" t="inlineStr">
        <is>
          <t>Pertenece a una declaración; puede originar un hallazgo sobre ella</t>
        </is>
      </c>
    </row>
    <row r="10" ht="33.75" customHeight="1" s="31">
      <c r="A10" s="46" t="inlineStr">
        <is>
          <t>Elemento</t>
        </is>
      </c>
      <c r="B10" s="46" t="n"/>
      <c r="C10" s="46" t="n"/>
      <c r="D10" s="46" t="n"/>
      <c r="E10" s="46" t="inlineStr">
        <is>
          <t>Entidad</t>
        </is>
      </c>
      <c r="F10" s="46" t="inlineStr">
        <is>
          <t>A.I.3, resultado 1; AE1, Tabla 6</t>
        </is>
      </c>
      <c r="G10" s="46" t="inlineStr">
        <is>
          <t>Se compone de ninguna o muchas declaraciones; se relaciona con otros elementos</t>
        </is>
      </c>
    </row>
    <row r="11" ht="33.75" customHeight="1" s="31">
      <c r="A11" s="47" t="inlineStr">
        <is>
          <t>Agente</t>
        </is>
      </c>
      <c r="B11" s="47" t="n"/>
      <c r="C11" s="47" t="n"/>
      <c r="D11" s="47" t="n"/>
      <c r="E11" s="47" t="inlineStr">
        <is>
          <t>Entidad</t>
        </is>
      </c>
      <c r="F11" s="47" t="inlineStr">
        <is>
          <t>A.I.3, resultados 5 y 12</t>
        </is>
      </c>
      <c r="G11" s="47" t="inlineStr">
        <is>
          <t>Evalúa una cadena de reglas; invoca muchos subagentes y puede ser invocado por muchos agentes</t>
        </is>
      </c>
    </row>
    <row r="12" ht="33.75" customHeight="1" s="31">
      <c r="A12" s="46" t="inlineStr">
        <is>
          <t>Regla de permiso</t>
        </is>
      </c>
      <c r="B12" s="46" t="n"/>
      <c r="C12" s="46" t="n"/>
      <c r="D12" s="46" t="n"/>
      <c r="E12" s="46" t="inlineStr">
        <is>
          <t>Entidad</t>
        </is>
      </c>
      <c r="F12" s="46" t="inlineStr">
        <is>
          <t>A.I.3, resultados 5, 7 y 8</t>
        </is>
      </c>
      <c r="G12" s="46" t="inlineStr">
        <is>
          <t>Rige sobre uno o muchos agentes; ocupa una posición en la cadena; si es declarada, proviene de una declaración</t>
        </is>
      </c>
    </row>
    <row r="13" ht="33.75" customHeight="1" s="31">
      <c r="A13" s="47" t="inlineStr">
        <is>
          <t>Hallazgo</t>
        </is>
      </c>
      <c r="B13" s="47" t="n"/>
      <c r="C13" s="47" t="n"/>
      <c r="D13" s="47" t="n"/>
      <c r="E13" s="47" t="inlineStr">
        <is>
          <t>Entidad</t>
        </is>
      </c>
      <c r="F13" s="47" t="inlineStr">
        <is>
          <t>A.I.3, resultados 3, 5, 13 y 14</t>
        </is>
      </c>
      <c r="G13" s="47" t="inlineStr">
        <is>
          <t>Recae sobre un elemento, una declaración, una entrada o una sustitución</t>
        </is>
      </c>
    </row>
    <row r="14" ht="33.75" customHeight="1" s="31">
      <c r="A14" s="46" t="inlineStr">
        <is>
          <t>Valor efectivo</t>
        </is>
      </c>
      <c r="B14" s="46" t="n"/>
      <c r="C14" s="46" t="n"/>
      <c r="D14" s="46" t="n"/>
      <c r="E14" s="46" t="inlineStr">
        <is>
          <t>Atributo de otra entidad</t>
        </is>
      </c>
      <c r="F14" s="46" t="inlineStr">
        <is>
          <t>Atributo derivado del elemento que resulta de cada resolución</t>
        </is>
      </c>
      <c r="G14" s="46" t="n"/>
    </row>
    <row r="15" ht="33.75" customHeight="1" s="31">
      <c r="A15" s="47" t="inlineStr">
        <is>
          <t>Procedencia</t>
        </is>
      </c>
      <c r="B15" s="47" t="n"/>
      <c r="C15" s="47" t="n"/>
      <c r="D15" s="47" t="n"/>
      <c r="E15" s="47" t="inlineStr">
        <is>
          <t>Atributo de otra entidad</t>
        </is>
      </c>
      <c r="F15" s="47" t="inlineStr">
        <is>
          <t>Atributo del elemento, junto con su valor efectivo: es la cadena que conduce a la declaración determinante, no una cosa del dominio</t>
        </is>
      </c>
      <c r="G15" s="47" t="n"/>
    </row>
    <row r="16" ht="33.75" customHeight="1" s="31">
      <c r="A16" s="46" t="inlineStr">
        <is>
          <t>Archivo</t>
        </is>
      </c>
      <c r="B16" s="46" t="n"/>
      <c r="C16" s="46" t="n"/>
      <c r="D16" s="46" t="n"/>
      <c r="E16" s="46" t="inlineStr">
        <is>
          <t>Atributo de otra entidad</t>
        </is>
      </c>
      <c r="F16" s="46" t="inlineStr">
        <is>
          <t>Atributo de la entrada (su ruta). Como objeto del disco pertenece al entorno: el sistema lo recibe ya formado y no lo modifica</t>
        </is>
      </c>
      <c r="G16" s="46" t="n"/>
    </row>
    <row r="17" ht="33.75" customHeight="1" s="31">
      <c r="A17" s="47" t="inlineStr">
        <is>
          <t>Consulta de permiso</t>
        </is>
      </c>
      <c r="B17" s="47" t="n"/>
      <c r="C17" s="47" t="n"/>
      <c r="D17" s="47" t="n"/>
      <c r="E17" s="47" t="inlineStr">
        <is>
          <t>Producto del sistema</t>
        </is>
      </c>
      <c r="F17" s="47" t="inlineStr">
        <is>
          <t>Sus datos son referencias a otras entidades; no posee datos propios</t>
        </is>
      </c>
      <c r="G17" s="47" t="n"/>
    </row>
    <row r="18" ht="33.75" customHeight="1" s="31">
      <c r="A18" s="46" t="inlineStr">
        <is>
          <t>Desarrollador</t>
        </is>
      </c>
      <c r="B18" s="46" t="n"/>
      <c r="C18" s="46" t="n"/>
      <c r="D18" s="46" t="n"/>
      <c r="E18" s="46" t="inlineStr">
        <is>
          <t>Elemento del entorno</t>
        </is>
      </c>
      <c r="F18" s="46" t="inlineStr">
        <is>
          <t>Actor externo, conforme al apartado III.1</t>
        </is>
      </c>
      <c r="G18" s="46" t="n"/>
    </row>
    <row r="19" ht="33.75" customHeight="1" s="31">
      <c r="A19" s="47" t="inlineStr">
        <is>
          <t>Agente que consume la salida por línea de comandos</t>
        </is>
      </c>
      <c r="B19" s="47" t="n"/>
      <c r="C19" s="47" t="n"/>
      <c r="D19" s="47" t="n"/>
      <c r="E19" s="47" t="inlineStr">
        <is>
          <t>Elemento del entorno</t>
        </is>
      </c>
      <c r="F19" s="47" t="inlineStr">
        <is>
          <t>Sistema vecino, conforme al apartado III.1 (E-01)</t>
        </is>
      </c>
      <c r="G19" s="47" t="n"/>
    </row>
    <row r="20" ht="33.75" customHeight="1" s="31">
      <c r="A20" s="46" t="inlineStr">
        <is>
          <t>Versión de OpenCode</t>
        </is>
      </c>
      <c r="B20" s="46" t="n"/>
      <c r="C20" s="46" t="n"/>
      <c r="D20" s="46" t="n"/>
      <c r="E20" s="46" t="inlineStr">
        <is>
          <t>Atributo de otra entidad</t>
        </is>
      </c>
      <c r="F20" s="46" t="inlineStr">
        <is>
          <t>Atributo de la resolución y del proyecto analizado; opera además como restricción del entorno. No posee datos ni reglas propios dentro del sistema</t>
        </is>
      </c>
      <c r="G20" s="46" t="n"/>
    </row>
    <row r="21" ht="33.75" customHeight="1" s="31">
      <c r="A21" s="47" t="inlineStr">
        <is>
          <t>Credencial de autenticación</t>
        </is>
      </c>
      <c r="B21" s="47" t="n"/>
      <c r="C21" s="47" t="n"/>
      <c r="D21" s="47" t="n"/>
      <c r="E21" s="47" t="inlineStr">
        <is>
          <t>Elemento del entorno</t>
        </is>
      </c>
      <c r="F21" s="47" t="inlineStr">
        <is>
          <t>Excluida del alcance, conforme al apartado III.4 (L-03)</t>
        </is>
      </c>
      <c r="G21" s="47" t="n"/>
    </row>
    <row r="22" ht="33.75" customHeight="1" s="31">
      <c r="A22" s="46" t="n"/>
      <c r="B22" s="46" t="n"/>
      <c r="C22" s="46" t="n"/>
      <c r="D22" s="46" t="n"/>
      <c r="E22" s="46" t="n"/>
      <c r="F22" s="46" t="n"/>
      <c r="G22" s="46" t="n"/>
    </row>
    <row r="23" ht="33.75" customHeight="1" s="31">
      <c r="A23" s="47" t="n"/>
      <c r="B23" s="47" t="n"/>
      <c r="C23" s="47" t="n"/>
      <c r="D23" s="47" t="n"/>
      <c r="E23" s="47" t="n"/>
      <c r="F23" s="47" t="n"/>
      <c r="G23" s="47" t="n"/>
    </row>
    <row r="24" ht="33.75" customHeight="1" s="31">
      <c r="A24" s="46" t="n"/>
      <c r="B24" s="46" t="n"/>
      <c r="C24" s="46" t="n"/>
      <c r="D24" s="46" t="n"/>
      <c r="E24" s="46" t="n"/>
      <c r="F24" s="46" t="n"/>
      <c r="G24" s="46" t="n"/>
    </row>
    <row r="25" ht="33.75" customHeight="1" s="31">
      <c r="A25" s="47" t="n"/>
      <c r="B25" s="47" t="n"/>
      <c r="C25" s="47" t="n"/>
      <c r="D25" s="47" t="n"/>
      <c r="E25" s="47" t="n"/>
      <c r="F25" s="47" t="n"/>
      <c r="G25" s="47" t="n"/>
    </row>
    <row r="26" ht="33.75" customHeight="1" s="31">
      <c r="A26" s="46" t="n"/>
      <c r="B26" s="46" t="n"/>
      <c r="C26" s="46" t="n"/>
      <c r="D26" s="46" t="n"/>
      <c r="E26" s="46" t="n"/>
      <c r="F26" s="46" t="n"/>
      <c r="G26" s="46" t="n"/>
    </row>
    <row r="27" ht="33.75" customHeight="1" s="31">
      <c r="A27" s="47" t="n"/>
      <c r="B27" s="47" t="n"/>
      <c r="C27" s="47" t="n"/>
      <c r="D27" s="47" t="n"/>
      <c r="E27" s="47" t="n"/>
      <c r="F27" s="47" t="n"/>
      <c r="G27" s="47" t="n"/>
    </row>
    <row r="28" ht="33.75" customHeight="1" s="31">
      <c r="A28" s="46" t="n"/>
      <c r="B28" s="46" t="n"/>
      <c r="C28" s="46" t="n"/>
      <c r="D28" s="46" t="n"/>
      <c r="E28" s="46" t="n"/>
      <c r="F28" s="46" t="n"/>
      <c r="G28" s="46" t="n"/>
    </row>
    <row r="29" ht="33.75" customHeight="1" s="31">
      <c r="A29" s="47" t="n"/>
      <c r="B29" s="47" t="n"/>
      <c r="C29" s="47" t="n"/>
      <c r="D29" s="47" t="n"/>
      <c r="E29" s="47" t="n"/>
      <c r="F29" s="47" t="n"/>
      <c r="G29" s="47" t="n"/>
    </row>
    <row r="30" ht="33.75" customHeight="1" s="31">
      <c r="A30" s="46" t="n"/>
      <c r="B30" s="46" t="n"/>
      <c r="C30" s="46" t="n"/>
      <c r="D30" s="46" t="n"/>
      <c r="E30" s="46" t="n"/>
      <c r="F30" s="46" t="n"/>
      <c r="G30" s="46" t="n"/>
    </row>
    <row r="31" ht="33.75" customHeight="1" s="31">
      <c r="A31" s="47" t="n"/>
      <c r="B31" s="47" t="n"/>
      <c r="C31" s="47" t="n"/>
      <c r="D31" s="47" t="n"/>
      <c r="E31" s="47" t="n"/>
      <c r="F31" s="47" t="n"/>
      <c r="G31" s="47" t="n"/>
    </row>
    <row r="32" ht="33.75" customHeight="1" s="31">
      <c r="A32" s="46" t="n"/>
      <c r="B32" s="46" t="n"/>
      <c r="C32" s="46" t="n"/>
      <c r="D32" s="46" t="n"/>
      <c r="E32" s="46" t="n"/>
      <c r="F32" s="46" t="n"/>
      <c r="G32" s="46" t="n"/>
    </row>
    <row r="33" ht="33.75" customHeight="1" s="31">
      <c r="A33" s="47" t="n"/>
      <c r="B33" s="47" t="n"/>
      <c r="C33" s="47" t="n"/>
      <c r="D33" s="47" t="n"/>
      <c r="E33" s="47" t="n"/>
      <c r="F33" s="47" t="n"/>
      <c r="G33" s="47" t="n"/>
    </row>
    <row r="34" ht="33.75" customHeight="1" s="31">
      <c r="A34" s="46" t="n"/>
      <c r="B34" s="46" t="n"/>
      <c r="C34" s="46" t="n"/>
      <c r="D34" s="46" t="n"/>
      <c r="E34" s="46" t="n"/>
      <c r="F34" s="46" t="n"/>
      <c r="G34" s="46" t="n"/>
    </row>
    <row r="35" ht="33.75" customHeight="1" s="31">
      <c r="A35" s="47" t="n"/>
      <c r="B35" s="47" t="n"/>
      <c r="C35" s="47" t="n"/>
      <c r="D35" s="47" t="n"/>
      <c r="E35" s="47" t="n"/>
      <c r="F35" s="47" t="n"/>
      <c r="G35" s="47" t="n"/>
    </row>
    <row r="36" ht="33.75" customHeight="1" s="31">
      <c r="A36" s="46" t="n"/>
      <c r="B36" s="46" t="n"/>
      <c r="C36" s="46" t="n"/>
      <c r="D36" s="46" t="n"/>
      <c r="E36" s="46" t="n"/>
      <c r="F36" s="46" t="n"/>
      <c r="G36" s="46" t="n"/>
    </row>
    <row r="37" ht="33.75" customHeight="1" s="31">
      <c r="A37" s="47" t="n"/>
      <c r="B37" s="47" t="n"/>
      <c r="C37" s="47" t="n"/>
      <c r="D37" s="47" t="n"/>
      <c r="E37" s="47" t="n"/>
      <c r="F37" s="47" t="n"/>
      <c r="G37" s="47" t="n"/>
    </row>
    <row r="38" ht="33.75" customHeight="1" s="31">
      <c r="A38" s="46" t="n"/>
      <c r="B38" s="46" t="n"/>
      <c r="C38" s="46" t="n"/>
      <c r="D38" s="46" t="n"/>
      <c r="E38" s="46" t="n"/>
      <c r="F38" s="46" t="n"/>
      <c r="G38" s="46" t="n"/>
    </row>
    <row r="39" ht="33.75" customHeight="1" s="31">
      <c r="A39" s="47" t="n"/>
      <c r="B39" s="47" t="n"/>
      <c r="C39" s="47" t="n"/>
      <c r="D39" s="47" t="n"/>
      <c r="E39" s="47" t="n"/>
      <c r="F39" s="47" t="n"/>
      <c r="G39" s="47" t="n"/>
    </row>
    <row r="40" ht="33.75" customHeight="1" s="31">
      <c r="A40" s="46" t="n"/>
      <c r="B40" s="46" t="n"/>
      <c r="C40" s="46" t="n"/>
      <c r="D40" s="46" t="n"/>
      <c r="E40" s="46" t="n"/>
      <c r="F40" s="46" t="n"/>
      <c r="G40" s="46" t="n"/>
    </row>
    <row r="41" ht="33.75" customHeight="1" s="31">
      <c r="A41" s="47" t="n"/>
      <c r="B41" s="47" t="n"/>
      <c r="C41" s="47" t="n"/>
      <c r="D41" s="47" t="n"/>
      <c r="E41" s="47" t="n"/>
      <c r="F41" s="47" t="n"/>
      <c r="G41" s="47" t="n"/>
    </row>
    <row r="42" ht="33.75" customHeight="1" s="31">
      <c r="A42" s="46" t="n"/>
      <c r="B42" s="46" t="n"/>
      <c r="C42" s="46" t="n"/>
      <c r="D42" s="46" t="n"/>
      <c r="E42" s="46" t="n"/>
      <c r="F42" s="46" t="n"/>
      <c r="G42" s="46" t="n"/>
    </row>
    <row r="43" ht="33.75" customHeight="1" s="31">
      <c r="A43" s="47" t="n"/>
      <c r="B43" s="47" t="n"/>
      <c r="C43" s="47" t="n"/>
      <c r="D43" s="47" t="n"/>
      <c r="E43" s="47" t="n"/>
      <c r="F43" s="47" t="n"/>
      <c r="G43" s="47" t="n"/>
    </row>
    <row r="44" ht="33.75" customHeight="1" s="31">
      <c r="A44" s="46" t="n"/>
      <c r="B44" s="46" t="n"/>
      <c r="C44" s="46" t="n"/>
      <c r="D44" s="46" t="n"/>
      <c r="E44" s="46" t="n"/>
      <c r="F44" s="46" t="n"/>
      <c r="G44" s="46" t="n"/>
    </row>
    <row r="45" ht="33.75" customHeight="1" s="31">
      <c r="A45" s="47" t="n"/>
      <c r="B45" s="47" t="n"/>
      <c r="C45" s="47" t="n"/>
      <c r="D45" s="47" t="n"/>
      <c r="E45" s="47" t="n"/>
      <c r="F45" s="47" t="n"/>
      <c r="G45" s="47" t="n"/>
    </row>
  </sheetData>
  <mergeCells count="2">
    <mergeCell ref="A2:G2"/>
    <mergeCell ref="A1:G1"/>
  </mergeCells>
  <dataValidations count="2">
    <dataValidation sqref="B5:D45" showDropDown="0" showInputMessage="0" showErrorMessage="1" allowBlank="1" errorTitle="Valor no admitido" error="Responda Sí, No o Parcialmente." type="list" errorStyle="stop" operator="between">
      <formula1>"Sí,No,Parcialmente"</formula1>
      <formula2>0</formula2>
    </dataValidation>
    <dataValidation sqref="E5:E45" showDropDown="0" showInputMessage="0" showErrorMessage="1" allowBlank="1" errorTitle="Valor no admitido" error="Veredictos admitidos: Entidad, Atributo, Rol, Producto del sistema o Elemento del entorno." type="list" errorStyle="stop" operator="between">
      <formula1>"Entidad,Atributo de otra entidad,Rol de una entidad,Producto del sistema,Elemento del entorno"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4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0" min="1" max="1"/>
    <col width="18" customWidth="1" style="30" min="2" max="2"/>
    <col width="56" customWidth="1" style="30" min="3" max="3"/>
    <col width="30" customWidth="1" style="30" min="4" max="4"/>
    <col width="14" customWidth="1" style="30" min="5" max="5"/>
    <col width="20" customWidth="1" style="30" min="6" max="6"/>
  </cols>
  <sheetData>
    <row r="1" ht="19.5" customHeight="1" s="31">
      <c r="A1" s="32" t="inlineStr">
        <is>
          <t>Registro de reglas de negocio · Instrumento 29</t>
        </is>
      </c>
    </row>
    <row r="2" ht="25.5" customHeight="1" s="31">
      <c r="A2" s="33" t="inlineStr">
        <is>
          <t>Regla y requisito derivado deben citar la misma fuente: esa coincidencia es la trazabilidad que la dimensión 1 de la rúbrica verifica.</t>
        </is>
      </c>
    </row>
    <row r="4" ht="30" customHeight="1" s="31">
      <c r="A4" s="43" t="inlineStr">
        <is>
          <t>Código</t>
        </is>
      </c>
      <c r="B4" s="43" t="inlineStr">
        <is>
          <t>Tipo</t>
        </is>
      </c>
      <c r="C4" s="43" t="inlineStr">
        <is>
          <t>Enunciado verificable</t>
        </is>
      </c>
      <c r="D4" s="43" t="inlineStr">
        <is>
          <t>Fuente</t>
        </is>
      </c>
      <c r="E4" s="43" t="inlineStr">
        <is>
          <t>Estado</t>
        </is>
      </c>
      <c r="F4" s="43" t="inlineStr">
        <is>
          <t>Requisito derivado (ID)</t>
        </is>
      </c>
    </row>
    <row r="5" ht="57.75" customHeight="1" s="31">
      <c r="A5" s="44" t="inlineStr">
        <is>
          <t>RD-01</t>
        </is>
      </c>
      <c r="B5" s="44" t="inlineStr">
        <is>
          <t>Derivación</t>
        </is>
      </c>
      <c r="C5" s="44" t="inlineStr">
        <is>
          <t>El valor efectivo de una clave resulta de aplicar las entradas en su orden de precedencia; prevalece la declaración de la última entrada que la declara</t>
        </is>
      </c>
      <c r="D5" s="44" t="inlineStr">
        <is>
          <t>H-01; acta del 26/09/2026</t>
        </is>
      </c>
      <c r="E5" s="44" t="inlineStr">
        <is>
          <t>Validada</t>
        </is>
      </c>
      <c r="F5" s="44" t="inlineStr">
        <is>
          <t>RF-01</t>
        </is>
      </c>
    </row>
    <row r="6" ht="33.75" customHeight="1" s="31">
      <c r="A6" s="46" t="inlineStr">
        <is>
          <t>RD-02</t>
        </is>
      </c>
      <c r="B6" s="46" t="inlineStr">
        <is>
          <t>Derivación</t>
        </is>
      </c>
      <c r="C6" s="46" t="inlineStr">
        <is>
          <t>En la fusión profunda, la posición de una clave la determina la primera entrada que la declara y su valor, la última</t>
        </is>
      </c>
      <c r="D6" s="46" t="inlineStr">
        <is>
          <t>H-06; acta del 26/09/2026</t>
        </is>
      </c>
      <c r="E6" s="46" t="inlineStr">
        <is>
          <t>Validada</t>
        </is>
      </c>
      <c r="F6" s="46" t="inlineStr">
        <is>
          <t>RF-01</t>
        </is>
      </c>
    </row>
    <row r="7" ht="33.75" customHeight="1" s="31">
      <c r="A7" s="47" t="inlineStr">
        <is>
          <t>RD-03</t>
        </is>
      </c>
      <c r="B7" s="47" t="inlineStr">
        <is>
          <t>Derivación</t>
        </is>
      </c>
      <c r="C7" s="47" t="inlineStr">
        <is>
          <t>La decisión de permiso resulta de evaluar la cadena ordenada de reglas (nativas generales, nativas del agente, declaradas globales y declaradas del agente) y la determina la última coincidencia</t>
        </is>
      </c>
      <c r="D7" s="47" t="inlineStr">
        <is>
          <t>H-05; acta del 26/09/2026</t>
        </is>
      </c>
      <c r="E7" s="47" t="inlineStr">
        <is>
          <t>Validada</t>
        </is>
      </c>
      <c r="F7" s="47" t="inlineStr">
        <is>
          <t>RF-02</t>
        </is>
      </c>
    </row>
    <row r="8" ht="33.75" customHeight="1" s="31">
      <c r="A8" s="46" t="inlineStr">
        <is>
          <t>RD-04</t>
        </is>
      </c>
      <c r="B8" s="46" t="inlineStr">
        <is>
          <t>Derivación</t>
        </is>
      </c>
      <c r="C8" s="46" t="inlineStr">
        <is>
          <t>Si ninguna declaración del usuario alcanza una clave, rige el valor implícito de la herramienta</t>
        </is>
      </c>
      <c r="D8" s="46" t="inlineStr">
        <is>
          <t>AE1, I.6.3; acta del 26/09/2026</t>
        </is>
      </c>
      <c r="E8" s="46" t="inlineStr">
        <is>
          <t>Validada</t>
        </is>
      </c>
      <c r="F8" s="46" t="inlineStr">
        <is>
          <t>RF-06</t>
        </is>
      </c>
    </row>
    <row r="9" ht="33.75" customHeight="1" s="31">
      <c r="A9" s="47" t="inlineStr">
        <is>
          <t>RD-05</t>
        </is>
      </c>
      <c r="B9" s="47" t="inlineStr">
        <is>
          <t>Derivación</t>
        </is>
      </c>
      <c r="C9" s="47" t="inlineStr">
        <is>
          <t>El subagente hereda del agente que lo invoca únicamente las reglas de denegación y las de directorio externo; el resto proviene de su propio conjunto, al que se agregan denegaciones implícitas</t>
        </is>
      </c>
      <c r="D9" s="47" t="inlineStr">
        <is>
          <t>H-12; acta del 26/09/2026</t>
        </is>
      </c>
      <c r="E9" s="47" t="inlineStr">
        <is>
          <t>Validada</t>
        </is>
      </c>
      <c r="F9" s="47" t="inlineStr">
        <is>
          <t>RF-02</t>
        </is>
      </c>
    </row>
    <row r="10" ht="33.75" customHeight="1" s="31">
      <c r="A10" s="46" t="inlineStr">
        <is>
          <t>RD-06</t>
        </is>
      </c>
      <c r="B10" s="46" t="inlineStr">
        <is>
          <t>Derivación</t>
        </is>
      </c>
      <c r="C10" s="46" t="inlineStr">
        <is>
          <t>Si la última regla coincidente para una herramienta declara patrón general y efecto de denegación, la herramienta no se ofrece al modelo; una excepción posterior vuelve a exponerla por completo</t>
        </is>
      </c>
      <c r="D10" s="46" t="inlineStr">
        <is>
          <t>H-08; acta del 26/09/2026</t>
        </is>
      </c>
      <c r="E10" s="46" t="inlineStr">
        <is>
          <t>Validada</t>
        </is>
      </c>
      <c r="F10" s="46" t="inlineStr">
        <is>
          <t>RF-10</t>
        </is>
      </c>
    </row>
    <row r="11" ht="33.75" customHeight="1" s="31">
      <c r="A11" s="47" t="inlineStr">
        <is>
          <t>RD-07</t>
        </is>
      </c>
      <c r="B11" s="47" t="inlineStr">
        <is>
          <t>Derivación</t>
        </is>
      </c>
      <c r="C11" s="47" t="inlineStr">
        <is>
          <t>Una declaración del usuario que alcanza una acción denegada por una regla nativa del agente prevalece sobre ella, dado que las declaradas se concatenan después de las nativas</t>
        </is>
      </c>
      <c r="D11" s="47" t="inlineStr">
        <is>
          <t>H-07; acta del 26/09/2026</t>
        </is>
      </c>
      <c r="E11" s="47" t="inlineStr">
        <is>
          <t>Validada</t>
        </is>
      </c>
      <c r="F11" s="47" t="inlineStr">
        <is>
          <t>RF-09</t>
        </is>
      </c>
    </row>
    <row r="12" ht="33.75" customHeight="1" s="31">
      <c r="A12" s="46" t="inlineStr">
        <is>
          <t>RR-01</t>
        </is>
      </c>
      <c r="B12" s="46" t="inlineStr">
        <is>
          <t>Restricción</t>
        </is>
      </c>
      <c r="C12" s="46" t="inlineStr">
        <is>
          <t>RIGE no modifica ninguna entrada de configuración; escribe únicamente en su propio almacén</t>
        </is>
      </c>
      <c r="D12" s="46" t="inlineStr">
        <is>
          <t>Acta del 26/09/2026, decisión L-01</t>
        </is>
      </c>
      <c r="E12" s="46" t="inlineStr">
        <is>
          <t>Validada</t>
        </is>
      </c>
      <c r="F12" s="46" t="inlineStr">
        <is>
          <t>RNF-01</t>
        </is>
      </c>
    </row>
    <row r="13" ht="33.75" customHeight="1" s="31">
      <c r="A13" s="47" t="inlineStr">
        <is>
          <t>RR-02</t>
        </is>
      </c>
      <c r="B13" s="47" t="inlineStr">
        <is>
          <t>Restricción</t>
        </is>
      </c>
      <c r="C13" s="47" t="inlineStr">
        <is>
          <t>RIGE no expone el contenido que una sustitución incorpora; informa su origen y su condición de definido o no definido</t>
        </is>
      </c>
      <c r="D13" s="47" t="inlineStr">
        <is>
          <t>Acta del 26/09/2026, decisión L-03; acta de validación, extensión</t>
        </is>
      </c>
      <c r="E13" s="47" t="inlineStr">
        <is>
          <t>Validada</t>
        </is>
      </c>
      <c r="F13" s="47" t="inlineStr">
        <is>
          <t>RNF-04</t>
        </is>
      </c>
    </row>
    <row r="14" ht="33.75" customHeight="1" s="31">
      <c r="A14" s="46" t="inlineStr">
        <is>
          <t>RR-03</t>
        </is>
      </c>
      <c r="B14" s="46" t="inlineStr">
        <is>
          <t>Restricción</t>
        </is>
      </c>
      <c r="C14" s="46" t="inlineStr">
        <is>
          <t>RIGE resuelve únicamente sobre OpenCode 1.18.25; ante otra versión instalada advierte y no presenta sus resultados como válidos</t>
        </is>
      </c>
      <c r="D14" s="46" t="inlineStr">
        <is>
          <t>Acta del 26/09/2026, decisión L-05</t>
        </is>
      </c>
      <c r="E14" s="46" t="inlineStr">
        <is>
          <t>Validada</t>
        </is>
      </c>
      <c r="F14" s="46" t="inlineStr">
        <is>
          <t>RF-05</t>
        </is>
      </c>
    </row>
    <row r="15" ht="33.75" customHeight="1" s="31">
      <c r="A15" s="47" t="inlineStr">
        <is>
          <t>RE-01</t>
        </is>
      </c>
      <c r="B15" s="47" t="inlineStr">
        <is>
          <t>Existencia</t>
        </is>
      </c>
      <c r="C15" s="47" t="inlineStr">
        <is>
          <t>Un elemento ingresa a la resolución si proviene de una entrada legible o si la herramienta lo incorpora sin declaración (nativo); si una entrada es ilegible, su carga se detiene con error y se registra el hallazgo correspondiente</t>
        </is>
      </c>
      <c r="D15" s="47" t="inlineStr">
        <is>
          <t>AE1, I.6.3; acta del 26/09/2026; acta de validación, extensión</t>
        </is>
      </c>
      <c r="E15" s="47" t="inlineStr">
        <is>
          <t>Validada</t>
        </is>
      </c>
      <c r="F15" s="47" t="inlineStr">
        <is>
          <t>RF-04, RF-07</t>
        </is>
      </c>
    </row>
    <row r="16" ht="33.75" customHeight="1" s="31">
      <c r="A16" s="46" t="inlineStr">
        <is>
          <t>RE-02</t>
        </is>
      </c>
      <c r="B16" s="46" t="inlineStr">
        <is>
          <t>Existencia</t>
        </is>
      </c>
      <c r="C16" s="46" t="inlineStr">
        <is>
          <t>Una regla se marca sin efecto solo si existe una regla posterior del mismo tipo que abarca todos los casos que ella cubre</t>
        </is>
      </c>
      <c r="D16" s="46" t="inlineStr">
        <is>
          <t>H-05; adaptado de Al-Shaer y Hamed (2004); acta del 26/09/2026</t>
        </is>
      </c>
      <c r="E16" s="46" t="inlineStr">
        <is>
          <t>Validada</t>
        </is>
      </c>
      <c r="F16" s="46" t="inlineStr">
        <is>
          <t>RF-07</t>
        </is>
      </c>
    </row>
    <row r="17" ht="33.75" customHeight="1" s="31">
      <c r="A17" s="47" t="inlineStr">
        <is>
          <t>RE-03</t>
        </is>
      </c>
      <c r="B17" s="47" t="inlineStr">
        <is>
          <t>Existencia</t>
        </is>
      </c>
      <c r="C17" s="47" t="inlineStr">
        <is>
          <t>Un elemento declarado se marca sin uso solo si ninguna declaración de un agente ni de un comando lo nombra</t>
        </is>
      </c>
      <c r="D17" s="47" t="inlineStr">
        <is>
          <t>AE1, I.6.3; acta del 26/09/2026; acta de validación, extensión</t>
        </is>
      </c>
      <c r="E17" s="47" t="inlineStr">
        <is>
          <t>Validada</t>
        </is>
      </c>
      <c r="F17" s="47" t="inlineStr">
        <is>
          <t>RF-07</t>
        </is>
      </c>
    </row>
    <row r="18" ht="33.75" customHeight="1" s="31">
      <c r="A18" s="46" t="n"/>
      <c r="B18" s="46" t="n"/>
      <c r="C18" s="46" t="n"/>
      <c r="D18" s="46" t="n"/>
      <c r="E18" s="46" t="n"/>
      <c r="F18" s="46" t="n"/>
    </row>
    <row r="19" ht="33.75" customHeight="1" s="31">
      <c r="A19" s="47" t="n"/>
      <c r="B19" s="47" t="n"/>
      <c r="C19" s="47" t="n"/>
      <c r="D19" s="47" t="n"/>
      <c r="E19" s="47" t="n"/>
      <c r="F19" s="47" t="n"/>
    </row>
    <row r="20" ht="33.75" customHeight="1" s="31">
      <c r="A20" s="46" t="n"/>
      <c r="B20" s="46" t="n"/>
      <c r="C20" s="46" t="n"/>
      <c r="D20" s="46" t="n"/>
      <c r="E20" s="46" t="n"/>
      <c r="F20" s="46" t="n"/>
    </row>
    <row r="21" ht="33.75" customHeight="1" s="31">
      <c r="A21" s="47" t="n"/>
      <c r="B21" s="47" t="n"/>
      <c r="C21" s="47" t="n"/>
      <c r="D21" s="47" t="n"/>
      <c r="E21" s="47" t="n"/>
      <c r="F21" s="47" t="n"/>
    </row>
    <row r="22" ht="33.75" customHeight="1" s="31">
      <c r="A22" s="46" t="n"/>
      <c r="B22" s="46" t="n"/>
      <c r="C22" s="46" t="n"/>
      <c r="D22" s="46" t="n"/>
      <c r="E22" s="46" t="n"/>
      <c r="F22" s="46" t="n"/>
    </row>
    <row r="23" ht="33.75" customHeight="1" s="31">
      <c r="A23" s="47" t="n"/>
      <c r="B23" s="47" t="n"/>
      <c r="C23" s="47" t="n"/>
      <c r="D23" s="47" t="n"/>
      <c r="E23" s="47" t="n"/>
      <c r="F23" s="47" t="n"/>
    </row>
    <row r="24" ht="33.75" customHeight="1" s="31">
      <c r="A24" s="46" t="n"/>
      <c r="B24" s="46" t="n"/>
      <c r="C24" s="46" t="n"/>
      <c r="D24" s="46" t="n"/>
      <c r="E24" s="46" t="n"/>
      <c r="F24" s="46" t="n"/>
    </row>
    <row r="25" ht="33.75" customHeight="1" s="31">
      <c r="A25" s="47" t="n"/>
      <c r="B25" s="47" t="n"/>
      <c r="C25" s="47" t="n"/>
      <c r="D25" s="47" t="n"/>
      <c r="E25" s="47" t="n"/>
      <c r="F25" s="47" t="n"/>
    </row>
    <row r="26" ht="33.75" customHeight="1" s="31">
      <c r="A26" s="46" t="n"/>
      <c r="B26" s="46" t="n"/>
      <c r="C26" s="46" t="n"/>
      <c r="D26" s="46" t="n"/>
      <c r="E26" s="46" t="n"/>
      <c r="F26" s="46" t="n"/>
    </row>
    <row r="27" ht="33.75" customHeight="1" s="31">
      <c r="A27" s="47" t="n"/>
      <c r="B27" s="47" t="n"/>
      <c r="C27" s="47" t="n"/>
      <c r="D27" s="47" t="n"/>
      <c r="E27" s="47" t="n"/>
      <c r="F27" s="47" t="n"/>
    </row>
    <row r="28" ht="33.75" customHeight="1" s="31">
      <c r="A28" s="46" t="n"/>
      <c r="B28" s="46" t="n"/>
      <c r="C28" s="46" t="n"/>
      <c r="D28" s="46" t="n"/>
      <c r="E28" s="46" t="n"/>
      <c r="F28" s="46" t="n"/>
    </row>
    <row r="29" ht="33.75" customHeight="1" s="31">
      <c r="A29" s="47" t="n"/>
      <c r="B29" s="47" t="n"/>
      <c r="C29" s="47" t="n"/>
      <c r="D29" s="47" t="n"/>
      <c r="E29" s="47" t="n"/>
      <c r="F29" s="47" t="n"/>
    </row>
    <row r="30" ht="33.75" customHeight="1" s="31">
      <c r="A30" s="46" t="n"/>
      <c r="B30" s="46" t="n"/>
      <c r="C30" s="46" t="n"/>
      <c r="D30" s="46" t="n"/>
      <c r="E30" s="46" t="n"/>
      <c r="F30" s="46" t="n"/>
    </row>
    <row r="31" ht="33.75" customHeight="1" s="31">
      <c r="A31" s="47" t="n"/>
      <c r="B31" s="47" t="n"/>
      <c r="C31" s="47" t="n"/>
      <c r="D31" s="47" t="n"/>
      <c r="E31" s="47" t="n"/>
      <c r="F31" s="47" t="n"/>
    </row>
    <row r="32" ht="33.75" customHeight="1" s="31">
      <c r="A32" s="46" t="n"/>
      <c r="B32" s="46" t="n"/>
      <c r="C32" s="46" t="n"/>
      <c r="D32" s="46" t="n"/>
      <c r="E32" s="46" t="n"/>
      <c r="F32" s="46" t="n"/>
    </row>
    <row r="33" ht="33.75" customHeight="1" s="31">
      <c r="A33" s="47" t="n"/>
      <c r="B33" s="47" t="n"/>
      <c r="C33" s="47" t="n"/>
      <c r="D33" s="47" t="n"/>
      <c r="E33" s="47" t="n"/>
      <c r="F33" s="47" t="n"/>
    </row>
    <row r="34" ht="33.75" customHeight="1" s="31">
      <c r="A34" s="46" t="n"/>
      <c r="B34" s="46" t="n"/>
      <c r="C34" s="46" t="n"/>
      <c r="D34" s="46" t="n"/>
      <c r="E34" s="46" t="n"/>
      <c r="F34" s="46" t="n"/>
    </row>
    <row r="35" ht="33.75" customHeight="1" s="31">
      <c r="A35" s="47" t="n"/>
      <c r="B35" s="47" t="n"/>
      <c r="C35" s="47" t="n"/>
      <c r="D35" s="47" t="n"/>
      <c r="E35" s="47" t="n"/>
      <c r="F35" s="47" t="n"/>
    </row>
    <row r="36" ht="33.75" customHeight="1" s="31">
      <c r="A36" s="46" t="n"/>
      <c r="B36" s="46" t="n"/>
      <c r="C36" s="46" t="n"/>
      <c r="D36" s="46" t="n"/>
      <c r="E36" s="46" t="n"/>
      <c r="F36" s="46" t="n"/>
    </row>
    <row r="37" ht="33.75" customHeight="1" s="31">
      <c r="A37" s="47" t="n"/>
      <c r="B37" s="47" t="n"/>
      <c r="C37" s="47" t="n"/>
      <c r="D37" s="47" t="n"/>
      <c r="E37" s="47" t="n"/>
      <c r="F37" s="47" t="n"/>
    </row>
    <row r="38" ht="33.75" customHeight="1" s="31">
      <c r="A38" s="46" t="n"/>
      <c r="B38" s="46" t="n"/>
      <c r="C38" s="46" t="n"/>
      <c r="D38" s="46" t="n"/>
      <c r="E38" s="46" t="n"/>
      <c r="F38" s="46" t="n"/>
    </row>
    <row r="39" ht="33.75" customHeight="1" s="31">
      <c r="A39" s="47" t="n"/>
      <c r="B39" s="47" t="n"/>
      <c r="C39" s="47" t="n"/>
      <c r="D39" s="47" t="n"/>
      <c r="E39" s="47" t="n"/>
      <c r="F39" s="47" t="n"/>
    </row>
    <row r="40" ht="33.75" customHeight="1" s="31">
      <c r="A40" s="46" t="n"/>
      <c r="B40" s="46" t="n"/>
      <c r="C40" s="46" t="n"/>
      <c r="D40" s="46" t="n"/>
      <c r="E40" s="46" t="n"/>
      <c r="F40" s="46" t="n"/>
    </row>
    <row r="41"/>
  </sheetData>
  <mergeCells count="2">
    <mergeCell ref="A2:F2"/>
    <mergeCell ref="A1:F1"/>
  </mergeCells>
  <dataValidations count="2">
    <dataValidation sqref="B5:B40" showDropDown="0" showInputMessage="0" showErrorMessage="1" allowBlank="1" errorTitle="Valor no admitido" error="Tipos admitidos: Restricción, Derivación o Existencia." type="list" errorStyle="stop" operator="between">
      <formula1>"Restricción,Derivación,Existencia"</formula1>
      <formula2>0</formula2>
    </dataValidation>
    <dataValidation sqref="E5:E40" showDropDown="0" showInputMessage="0" showErrorMessage="1" allowBlank="1" errorTitle="Valor no admitido" error="Estados admitidos: Validada, Pendiente o En disputa." type="list" errorStyle="stop" operator="between">
      <formula1>"Validada,Pendiente,En disputa"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30" min="1" max="1"/>
    <col width="52" customWidth="1" style="30" min="2" max="2"/>
    <col width="30" customWidth="1" style="30" min="3" max="3"/>
    <col width="26" customWidth="1" style="30" min="4" max="4"/>
    <col width="14" customWidth="1" style="30" min="5" max="5"/>
  </cols>
  <sheetData>
    <row r="1" ht="19.5" customHeight="1" s="31">
      <c r="A1" s="32" t="inlineStr">
        <is>
          <t>Glosario del dominio · Instrumento 30</t>
        </is>
      </c>
    </row>
    <row r="2" ht="25.5" customHeight="1" s="31">
      <c r="A2" s="33" t="inlineStr">
        <is>
          <t>Vocabulario normativo del informe completo y, más adelante, de las tablas del sistema. La entrada más valiosa es la del término en disputa: el que dos personas de la organización usan distinto.</t>
        </is>
      </c>
    </row>
    <row r="4" ht="30" customHeight="1" s="31">
      <c r="A4" s="43" t="inlineStr">
        <is>
          <t>Término (como lo usa la organización)</t>
        </is>
      </c>
      <c r="B4" s="43" t="inlineStr">
        <is>
          <t>Definición operativa (una o dos oraciones)</t>
        </is>
      </c>
      <c r="C4" s="43" t="inlineStr">
        <is>
          <t>Sinónimos y falsos amigos detectados</t>
        </is>
      </c>
      <c r="D4" s="43" t="inlineStr">
        <is>
          <t>Fuente (quién lo usa así)</t>
        </is>
      </c>
      <c r="E4" s="43" t="inlineStr">
        <is>
          <t>¿En disputa?</t>
        </is>
      </c>
    </row>
    <row r="5" ht="57.75" customHeight="1" s="31">
      <c r="A5" s="44" t="inlineStr">
        <is>
          <t>Entrada de configuración</t>
        </is>
      </c>
      <c r="B5" s="44" t="inlineStr">
        <is>
          <t>Vía por la cual OpenCode incorpora configuración al resolver el estado efectivo, sea o no un archivo</t>
        </is>
      </c>
      <c r="C5" s="44" t="inlineStr">
        <is>
          <t>La documentación emplea **source**; el uso corriente alterna capa, alcance y nivel</t>
        </is>
      </c>
      <c r="D5" s="44" t="inlineStr">
        <is>
          <t>A.I.3, resultado 1; acta del 26/09/2026</t>
        </is>
      </c>
      <c r="E5" s="44" t="inlineStr">
        <is>
          <t>No</t>
        </is>
      </c>
    </row>
    <row r="6" ht="33.75" customHeight="1" s="31">
      <c r="A6" s="46" t="inlineStr">
        <is>
          <t>Archivo de configuración</t>
        </is>
      </c>
      <c r="B6" s="46" t="inlineStr">
        <is>
          <t>Entrada que se materializa en un archivo del disco, con ruta y posición</t>
        </is>
      </c>
      <c r="C6" s="46" t="inlineStr">
        <is>
          <t>No toda entrada es un archivo: cuatro de ellas no lo son</t>
        </is>
      </c>
      <c r="D6" s="46" t="inlineStr">
        <is>
          <t>A.I.3, resultado 1; acta del 26/09/2026</t>
        </is>
      </c>
      <c r="E6" s="46" t="inlineStr">
        <is>
          <t>No</t>
        </is>
      </c>
    </row>
    <row r="7" ht="33.75" customHeight="1" s="31">
      <c r="A7" s="47" t="inlineStr">
        <is>
          <t>Declaración</t>
        </is>
      </c>
      <c r="B7" s="47" t="inlineStr">
        <is>
          <t>Asignación concreta escrita dentro de una entrada</t>
        </is>
      </c>
      <c r="C7" s="47" t="n"/>
      <c r="D7" s="47" t="inlineStr">
        <is>
          <t>A.I.3, resultado 6; acta del 26/09/2026</t>
        </is>
      </c>
      <c r="E7" s="47" t="inlineStr">
        <is>
          <t>No</t>
        </is>
      </c>
    </row>
    <row r="8" ht="33.75" customHeight="1" s="31">
      <c r="A8" s="46" t="inlineStr">
        <is>
          <t>Valor efectivo</t>
        </is>
      </c>
      <c r="B8" s="46" t="inlineStr">
        <is>
          <t>Valor que OpenCode aplica a una clave tras combinar todas las entradas</t>
        </is>
      </c>
      <c r="C8" s="46" t="inlineStr">
        <is>
          <t>Se distingue del valor declarado, que puede no prevalecer</t>
        </is>
      </c>
      <c r="D8" s="46" t="inlineStr">
        <is>
          <t>A.I.3, resultado 1</t>
        </is>
      </c>
      <c r="E8" s="46" t="inlineStr">
        <is>
          <t>No</t>
        </is>
      </c>
    </row>
    <row r="9" ht="33.75" customHeight="1" s="31">
      <c r="A9" s="47" t="inlineStr">
        <is>
          <t>Procedencia</t>
        </is>
      </c>
      <c r="B9" s="47" t="inlineStr">
        <is>
          <t>Cadena que conduce al valor efectivo: entrada, archivo y posición de la declaración determinante y, si esta contiene una sustitución, el origen de su contenido</t>
        </is>
      </c>
      <c r="C9" s="47" t="n"/>
      <c r="D9" s="47" t="inlineStr">
        <is>
          <t>A.I.3, resultado 6; acta del 26/09/2026</t>
        </is>
      </c>
      <c r="E9" s="47" t="inlineStr">
        <is>
          <t>No</t>
        </is>
      </c>
    </row>
    <row r="10" ht="33.75" customHeight="1" s="31">
      <c r="A10" s="46" t="inlineStr">
        <is>
          <t>Valor implícito</t>
        </is>
      </c>
      <c r="B10" s="46" t="inlineStr">
        <is>
          <t>Valor que la herramienta aplica sin declaración del usuario</t>
        </is>
      </c>
      <c r="C10" s="46" t="n"/>
      <c r="D10" s="46" t="inlineStr">
        <is>
          <t>AE1, I.6.3</t>
        </is>
      </c>
      <c r="E10" s="46" t="inlineStr">
        <is>
          <t>No</t>
        </is>
      </c>
    </row>
    <row r="11" ht="33.75" customHeight="1" s="31">
      <c r="A11" s="47" t="inlineStr">
        <is>
          <t>Regla nativa</t>
        </is>
      </c>
      <c r="B11" s="47" t="inlineStr">
        <is>
          <t>Regla de permiso que la herramienta incorpora sin declaración del usuario</t>
        </is>
      </c>
      <c r="C11" s="47" t="n"/>
      <c r="D11" s="47" t="inlineStr">
        <is>
          <t>A.I.3, resultado 7</t>
        </is>
      </c>
      <c r="E11" s="47" t="inlineStr">
        <is>
          <t>No</t>
        </is>
      </c>
    </row>
    <row r="12" ht="33.75" customHeight="1" s="31">
      <c r="A12" s="46" t="inlineStr">
        <is>
          <t>Permiso</t>
        </is>
      </c>
      <c r="B12" s="46" t="inlineStr">
        <is>
          <t>Decisión resultante para un agente y una acción: permitida, sujeta a confirmación o denegada</t>
        </is>
      </c>
      <c r="C12" s="46" t="inlineStr">
        <is>
          <t>El uso corriente lo emplea también para la regla que produce la decisión</t>
        </is>
      </c>
      <c r="D12" s="46" t="inlineStr">
        <is>
          <t>A.I.3, resultado 5; acta del 26/09/2026</t>
        </is>
      </c>
      <c r="E12" s="46" t="inlineStr">
        <is>
          <t>No</t>
        </is>
      </c>
    </row>
    <row r="13" ht="33.75" customHeight="1" s="31">
      <c r="A13" s="47" t="inlineStr">
        <is>
          <t>Regla de permiso</t>
        </is>
      </c>
      <c r="B13" s="47" t="inlineStr">
        <is>
          <t>Regla que produce una decisión de permiso, nativa de la herramienta o escrita por el usuario en una declaración</t>
        </is>
      </c>
      <c r="C13" s="47" t="inlineStr">
        <is>
          <t>Véase la entrada anterior</t>
        </is>
      </c>
      <c r="D13" s="47" t="inlineStr">
        <is>
          <t>A.I.3, resultado 5; acta del 26/09/2026</t>
        </is>
      </c>
      <c r="E13" s="47" t="inlineStr">
        <is>
          <t>No</t>
        </is>
      </c>
    </row>
    <row r="14" ht="33.75" customHeight="1" s="31">
      <c r="A14" s="46" t="inlineStr">
        <is>
          <t>Declaración desplazada</t>
        </is>
      </c>
      <c r="B14" s="46" t="inlineStr">
        <is>
          <t>Declaración reemplazada por otra de mayor precedencia sobre la misma clave</t>
        </is>
      </c>
      <c r="C14" s="46" t="n"/>
      <c r="D14" s="46" t="inlineStr">
        <is>
          <t>A.I.3, resultado 6</t>
        </is>
      </c>
      <c r="E14" s="46" t="inlineStr">
        <is>
          <t>No</t>
        </is>
      </c>
    </row>
    <row r="15" ht="33.75" customHeight="1" s="31">
      <c r="A15" s="47" t="inlineStr">
        <is>
          <t>Regla sin efecto</t>
        </is>
      </c>
      <c r="B15" s="47" t="inlineStr">
        <is>
          <t>Regla de permiso que nunca determina una decisión, dado que una regla posterior del mismo tipo abarca todos los casos que ella cubre</t>
        </is>
      </c>
      <c r="C15" s="47" t="inlineStr">
        <is>
          <t>Corresponde a la anomalía de sombreado</t>
        </is>
      </c>
      <c r="D15" s="47" t="inlineStr">
        <is>
          <t>adaptado de Al-Shaer y Hamed (2004)</t>
        </is>
      </c>
      <c r="E15" s="47" t="inlineStr">
        <is>
          <t>No</t>
        </is>
      </c>
    </row>
    <row r="16" ht="33.75" customHeight="1" s="31">
      <c r="A16" s="46" t="inlineStr">
        <is>
          <t>Referencia no resuelta</t>
        </is>
      </c>
      <c r="B16" s="46" t="inlineStr">
        <is>
          <t>Declaración que nombra por su nombre un elemento que no figura en la resolución, o un archivo inexistente</t>
        </is>
      </c>
      <c r="C16" s="46" t="n"/>
      <c r="D16" s="46" t="inlineStr">
        <is>
          <t>AE1, I.6.3; Anexo III, D-61</t>
        </is>
      </c>
      <c r="E16" s="46" t="inlineStr">
        <is>
          <t>No</t>
        </is>
      </c>
    </row>
    <row r="17" ht="33.75" customHeight="1" s="31">
      <c r="A17" s="47" t="inlineStr">
        <is>
          <t>Elemento sin uso</t>
        </is>
      </c>
      <c r="B17" s="47" t="inlineStr">
        <is>
          <t>Elemento declarado al que ninguna declaración de un agente ni de un comando nombra</t>
        </is>
      </c>
      <c r="C17" s="47" t="n"/>
      <c r="D17" s="47" t="inlineStr">
        <is>
          <t>AE1, I.6.3; Anexo III, D-61</t>
        </is>
      </c>
      <c r="E17" s="47" t="inlineStr">
        <is>
          <t>No</t>
        </is>
      </c>
    </row>
    <row r="18" ht="33.75" customHeight="1" s="31">
      <c r="A18" s="46" t="inlineStr">
        <is>
          <t>Sustitución sin valor</t>
        </is>
      </c>
      <c r="B18" s="46" t="inlineStr">
        <is>
          <t>Sustitución de una variable de entorno no definida, que se reemplaza por un texto vacío sin advertencia</t>
        </is>
      </c>
      <c r="C18" s="46" t="n"/>
      <c r="D18" s="46" t="inlineStr">
        <is>
          <t>A.I.3, resultado 13</t>
        </is>
      </c>
      <c r="E18" s="46" t="inlineStr">
        <is>
          <t>No</t>
        </is>
      </c>
    </row>
    <row r="19" ht="33.75" customHeight="1" s="31">
      <c r="A19" s="47" t="inlineStr">
        <is>
          <t>Entrada ilegible</t>
        </is>
      </c>
      <c r="B19" s="47" t="inlineStr">
        <is>
          <t>Entrada que no puede interpretarse, por errores de sintaxis o por referenciar una sustitución de archivo inexistente, lo que detiene su carga con error</t>
        </is>
      </c>
      <c r="C19" s="47" t="inlineStr">
        <is>
          <t>Sustituye la denominación «fuente ilegible» del informe de la AE1</t>
        </is>
      </c>
      <c r="D19" s="47" t="inlineStr">
        <is>
          <t>AE1, I.6.3; acta del 26/09/2026</t>
        </is>
      </c>
      <c r="E19" s="47" t="inlineStr">
        <is>
          <t>No</t>
        </is>
      </c>
    </row>
    <row r="20" ht="33.75" customHeight="1" s="31">
      <c r="A20" s="46" t="inlineStr">
        <is>
          <t>Entrada descartada sin error visible</t>
        </is>
      </c>
      <c r="B20" s="46" t="inlineStr">
        <is>
          <t>Entrada que la herramienta desestima por contener un contenido inválido, cuyo descarte solo consta en el archivo de registro</t>
        </is>
      </c>
      <c r="C20" s="46" t="inlineStr">
        <is>
          <t>Se distingue de la entrada ilegible, que sí produce error</t>
        </is>
      </c>
      <c r="D20" s="46" t="inlineStr">
        <is>
          <t>A.I.3, resultado 14</t>
        </is>
      </c>
      <c r="E20" s="46" t="inlineStr">
        <is>
          <t>No</t>
        </is>
      </c>
    </row>
    <row r="21" ht="33.75" customHeight="1" s="31">
      <c r="A21" s="47" t="inlineStr">
        <is>
          <t>Aprobación persistida</t>
        </is>
      </c>
      <c r="B21" s="47" t="inlineStr">
        <is>
          <t>Autorización que el desarrollador concede de manera permanente, asociada al texto literal de la acción, que subsiste entre sesiones</t>
        </is>
      </c>
      <c r="C21" s="47" t="inlineStr">
        <is>
          <t>No constituye una entrada de configuración ni la muestra comando alguno</t>
        </is>
      </c>
      <c r="D21" s="47" t="inlineStr">
        <is>
          <t>A.I.3, resultado 11</t>
        </is>
      </c>
      <c r="E21" s="47" t="inlineStr">
        <is>
          <t>No</t>
        </is>
      </c>
    </row>
    <row r="22" ht="33.75" customHeight="1" s="31">
      <c r="A22" s="46" t="inlineStr">
        <is>
          <t>Elemento</t>
        </is>
      </c>
      <c r="B22" s="46" t="inlineStr">
        <is>
          <t>Unidad de configuración que RIGE resuelve y relaciona, cuyo tipo declara el adaptador</t>
        </is>
      </c>
      <c r="C22" s="46" t="n"/>
      <c r="D22" s="46" t="inlineStr">
        <is>
          <t>III.2, Tabla 2; A.I.3, resultado 1; AE1, Tabla 6</t>
        </is>
      </c>
      <c r="E22" s="46" t="inlineStr">
        <is>
          <t>No</t>
        </is>
      </c>
    </row>
    <row r="23" ht="33.75" customHeight="1" s="31">
      <c r="A23" s="47" t="inlineStr">
        <is>
          <t>Agente</t>
        </is>
      </c>
      <c r="B23" s="47" t="inlineStr">
        <is>
          <t>Especialización de Elemento sobre la cual se manifiesta el efecto de toda la configuración</t>
        </is>
      </c>
      <c r="C23" s="47" t="n"/>
      <c r="D23" s="47" t="inlineStr">
        <is>
          <t>III.2, Tabla 2; A.I.3, resultados 5 y 12</t>
        </is>
      </c>
      <c r="E23" s="47" t="inlineStr">
        <is>
          <t>No</t>
        </is>
      </c>
    </row>
    <row r="24" ht="33.75" customHeight="1" s="31">
      <c r="A24" s="46" t="inlineStr">
        <is>
          <t>Subagente</t>
        </is>
      </c>
      <c r="B24" s="46" t="inlineStr">
        <is>
          <t>Agente que otro agente invoca y que hereda sus reglas de denegación</t>
        </is>
      </c>
      <c r="C24" s="46" t="n"/>
      <c r="D24" s="46" t="inlineStr">
        <is>
          <t>RD-05; A.I.3, resultado 12</t>
        </is>
      </c>
      <c r="E24" s="46" t="inlineStr">
        <is>
          <t>No</t>
        </is>
      </c>
    </row>
    <row r="25" ht="33.75" customHeight="1" s="31">
      <c r="A25" s="47" t="inlineStr">
        <is>
          <t>Hallazgo</t>
        </is>
      </c>
      <c r="B25" s="47" t="inlineStr">
        <is>
          <t>Defecto detectado en el ecosistema, con su localización</t>
        </is>
      </c>
      <c r="C25" s="47" t="n"/>
      <c r="D25" s="47" t="inlineStr">
        <is>
          <t>III.2, Tabla 2; A.I.3, resultados 3, 5, 13 y 14</t>
        </is>
      </c>
      <c r="E25" s="47" t="inlineStr">
        <is>
          <t>No</t>
        </is>
      </c>
    </row>
    <row r="26" ht="33.75" customHeight="1" s="31">
      <c r="A26" s="46" t="inlineStr">
        <is>
          <t>Resolución</t>
        </is>
      </c>
      <c r="B26" s="46" t="inlineStr">
        <is>
          <t>Estado efectivo del ecosistema obtenido en un momento determinado</t>
        </is>
      </c>
      <c r="C26" s="46" t="n"/>
      <c r="D26" s="46" t="inlineStr">
        <is>
          <t>III.2, Tabla 2; A.I.3, resultados 1 y 3</t>
        </is>
      </c>
      <c r="E26" s="46" t="inlineStr">
        <is>
          <t>No</t>
        </is>
      </c>
    </row>
    <row r="27" ht="33.75" customHeight="1" s="31">
      <c r="A27" s="47" t="inlineStr">
        <is>
          <t>Instrucción</t>
        </is>
      </c>
      <c r="B27" s="47" t="inlineStr">
        <is>
          <t>Archivo de instrucciones que se incorpora al contexto de un agente; entrada de configuración cuyo contenido RIGE no evalúa</t>
        </is>
      </c>
      <c r="C27" s="47" t="n"/>
      <c r="D27" s="47" t="inlineStr">
        <is>
          <t>(Anexo III, D-61)</t>
        </is>
      </c>
      <c r="E27" s="47" t="inlineStr">
        <is>
          <t>No</t>
        </is>
      </c>
    </row>
    <row r="28" ht="33.75" customHeight="1" s="31">
      <c r="A28" s="46" t="inlineStr">
        <is>
          <t>Elemento nativo</t>
        </is>
      </c>
      <c r="B28" s="46" t="inlineStr">
        <is>
          <t>Elemento que la herramienta incorpora sin declaración del usuario</t>
        </is>
      </c>
      <c r="C28" s="46" t="n"/>
      <c r="D28" s="46" t="inlineStr">
        <is>
          <t>(Anexo III, D-61)</t>
        </is>
      </c>
      <c r="E28" s="46" t="inlineStr">
        <is>
          <t>No</t>
        </is>
      </c>
    </row>
    <row r="29" ht="33.75" customHeight="1" s="31">
      <c r="A29" s="47" t="n"/>
      <c r="B29" s="47" t="n"/>
      <c r="C29" s="47" t="n"/>
      <c r="D29" s="47" t="n"/>
      <c r="E29" s="47" t="n"/>
    </row>
    <row r="30" ht="33.75" customHeight="1" s="31">
      <c r="A30" s="46" t="n"/>
      <c r="B30" s="46" t="n"/>
      <c r="C30" s="46" t="n"/>
      <c r="D30" s="46" t="n"/>
      <c r="E30" s="46" t="n"/>
    </row>
    <row r="31" ht="33.75" customHeight="1" s="31">
      <c r="A31" s="47" t="n"/>
      <c r="B31" s="47" t="n"/>
      <c r="C31" s="47" t="n"/>
      <c r="D31" s="47" t="n"/>
      <c r="E31" s="47" t="n"/>
    </row>
    <row r="32" ht="33.75" customHeight="1" s="31">
      <c r="A32" s="46" t="n"/>
      <c r="B32" s="46" t="n"/>
      <c r="C32" s="46" t="n"/>
      <c r="D32" s="46" t="n"/>
      <c r="E32" s="46" t="n"/>
    </row>
    <row r="33" ht="33.75" customHeight="1" s="31">
      <c r="A33" s="47" t="n"/>
      <c r="B33" s="47" t="n"/>
      <c r="C33" s="47" t="n"/>
      <c r="D33" s="47" t="n"/>
      <c r="E33" s="47" t="n"/>
    </row>
    <row r="34" ht="33.75" customHeight="1" s="31">
      <c r="A34" s="46" t="n"/>
      <c r="B34" s="46" t="n"/>
      <c r="C34" s="46" t="n"/>
      <c r="D34" s="46" t="n"/>
      <c r="E34" s="46" t="n"/>
    </row>
    <row r="35" ht="33.75" customHeight="1" s="31">
      <c r="A35" s="47" t="n"/>
      <c r="B35" s="47" t="n"/>
      <c r="C35" s="47" t="n"/>
      <c r="D35" s="47" t="n"/>
      <c r="E35" s="47" t="n"/>
    </row>
    <row r="36" ht="33.75" customHeight="1" s="31">
      <c r="A36" s="46" t="n"/>
      <c r="B36" s="46" t="n"/>
      <c r="C36" s="46" t="n"/>
      <c r="D36" s="46" t="n"/>
      <c r="E36" s="46" t="n"/>
    </row>
    <row r="37" ht="33.75" customHeight="1" s="31">
      <c r="A37" s="47" t="n"/>
      <c r="B37" s="47" t="n"/>
      <c r="C37" s="47" t="n"/>
      <c r="D37" s="47" t="n"/>
      <c r="E37" s="47" t="n"/>
    </row>
    <row r="38" ht="33.75" customHeight="1" s="31">
      <c r="A38" s="46" t="n"/>
      <c r="B38" s="46" t="n"/>
      <c r="C38" s="46" t="n"/>
      <c r="D38" s="46" t="n"/>
      <c r="E38" s="46" t="n"/>
    </row>
    <row r="39" ht="33.75" customHeight="1" s="31">
      <c r="A39" s="47" t="n"/>
      <c r="B39" s="47" t="n"/>
      <c r="C39" s="47" t="n"/>
      <c r="D39" s="47" t="n"/>
      <c r="E39" s="47" t="n"/>
    </row>
    <row r="40" ht="33.75" customHeight="1" s="31">
      <c r="A40" s="46" t="n"/>
      <c r="B40" s="46" t="n"/>
      <c r="C40" s="46" t="n"/>
      <c r="D40" s="46" t="n"/>
      <c r="E40" s="46" t="n"/>
    </row>
    <row r="41" ht="33.75" customHeight="1" s="31">
      <c r="A41" s="47" t="n"/>
      <c r="B41" s="47" t="n"/>
      <c r="C41" s="47" t="n"/>
      <c r="D41" s="47" t="n"/>
      <c r="E41" s="47" t="n"/>
    </row>
    <row r="42" ht="33.75" customHeight="1" s="31">
      <c r="A42" s="46" t="n"/>
      <c r="B42" s="46" t="n"/>
      <c r="C42" s="46" t="n"/>
      <c r="D42" s="46" t="n"/>
      <c r="E42" s="46" t="n"/>
    </row>
    <row r="43" ht="33.75" customHeight="1" s="31">
      <c r="A43" s="47" t="n"/>
      <c r="B43" s="47" t="n"/>
      <c r="C43" s="47" t="n"/>
      <c r="D43" s="47" t="n"/>
      <c r="E43" s="47" t="n"/>
    </row>
    <row r="44" ht="33.75" customHeight="1" s="31">
      <c r="A44" s="46" t="n"/>
      <c r="B44" s="46" t="n"/>
      <c r="C44" s="46" t="n"/>
      <c r="D44" s="46" t="n"/>
      <c r="E44" s="46" t="n"/>
    </row>
    <row r="45" ht="33.75" customHeight="1" s="31">
      <c r="A45" s="47" t="n"/>
      <c r="B45" s="47" t="n"/>
      <c r="C45" s="47" t="n"/>
      <c r="D45" s="47" t="n"/>
      <c r="E45" s="47" t="n"/>
    </row>
  </sheetData>
  <mergeCells count="2">
    <mergeCell ref="A2:E2"/>
    <mergeCell ref="A1:E1"/>
  </mergeCells>
  <dataValidations count="1">
    <dataValidation sqref="E5:E45" showDropDown="0" showInputMessage="0" showErrorMessage="1" allowBlank="1" errorTitle="Valor no admitido" error="Responda Sí o No." type="list" errorStyle="stop" operator="between">
      <formula1>"Sí,No"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2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30" min="1" max="1"/>
    <col width="13" customWidth="1" style="30" min="2" max="3"/>
    <col width="40" customWidth="1" style="30" min="4" max="4"/>
    <col width="26" customWidth="1" style="30" min="5" max="5"/>
    <col width="32" customWidth="1" style="30" min="6" max="6"/>
    <col width="14" customWidth="1" style="30" min="7" max="7"/>
  </cols>
  <sheetData>
    <row r="1" ht="19.5" customHeight="1" s="31">
      <c r="A1" s="32" t="inlineStr">
        <is>
          <t>Plan de iteraciones y presupuesto de horas · Capítulo V</t>
        </is>
      </c>
    </row>
    <row r="2" ht="25.5" customHeight="1" s="31">
      <c r="A2" s="33" t="inlineStr">
        <is>
          <t>El cronograma se construye sobre el presupuesto efectivo de horas-persona y se alinea con la cadencia de artefactos: v1 en la semana 8, v2 en la semana 11, v3 en la semana 13 y versión funcional congelada en la semana 14.</t>
        </is>
      </c>
    </row>
    <row r="4" ht="30" customHeight="1" s="31">
      <c r="A4" s="43" t="inlineStr">
        <is>
          <t>Iteración</t>
        </is>
      </c>
      <c r="B4" s="43" t="inlineStr">
        <is>
          <t>Desde</t>
        </is>
      </c>
      <c r="C4" s="43" t="inlineStr">
        <is>
          <t>Hasta</t>
        </is>
      </c>
      <c r="D4" s="43" t="inlineStr">
        <is>
          <t>Objetivo verificable</t>
        </is>
      </c>
      <c r="E4" s="43" t="inlineStr">
        <is>
          <t>Requisitos comprometidos (ID)</t>
        </is>
      </c>
      <c r="F4" s="43" t="inlineStr">
        <is>
          <t>Entregable de cierre</t>
        </is>
      </c>
      <c r="G4" s="43" t="inlineStr">
        <is>
          <t>Horas asignadas</t>
        </is>
      </c>
    </row>
    <row r="5" ht="33.75" customHeight="1" s="31">
      <c r="A5" s="47" t="n">
        <v>1</v>
      </c>
      <c r="B5" s="47" t="inlineStr">
        <is>
          <t>21/09</t>
        </is>
      </c>
      <c r="C5" s="47" t="inlineStr">
        <is>
          <t>01/10</t>
        </is>
      </c>
      <c r="D5" s="47" t="inlineStr">
        <is>
          <t>Sobre un escenario con una clave declarada en tres entradas de distinta precedencia, RIGE informa el valor efectivo, su archivo y su línea, y las dos declaraciones desplazadas; persiste la resolución y la devuelve a la interfaz. El valor coincide con el comando nativo de resolución por agente y el núcleo registra cero dependencias hacia el adaptador</t>
        </is>
      </c>
      <c r="E5" s="47" t="inlineStr">
        <is>
          <t>RF-01, RF-17, RNF-01, RNF-03, RNF-09; fijación de los valores de RNF-07</t>
        </is>
      </c>
      <c r="F5" s="47" t="inlineStr">
        <is>
          <t>Etiqueta v1</t>
        </is>
      </c>
      <c r="G5" s="47" t="n">
        <v>35</v>
      </c>
    </row>
    <row r="6" ht="33.75" customHeight="1" s="31">
      <c r="A6" s="46" t="n">
        <v>2</v>
      </c>
      <c r="B6" s="46" t="inlineStr">
        <is>
          <t>02/10</t>
        </is>
      </c>
      <c r="C6" s="46" t="inlineStr">
        <is>
          <t>24/10</t>
        </is>
      </c>
      <c r="D6" s="46" t="inlineStr">
        <is>
          <t>Para un agente y un comando de terminal simple, RIGE informa la decisión, la cadena de reglas, la regla determinante con su carácter nativo o declarado y su explicación, y expone por línea de comandos los valores efectivos y la decisión de permiso con una salida estructurada, determinista y ajustada al esquema publicado; la interfaz web local presenta la consulta de permiso con la misma decisión, cadena y regla determinante que la línea de comandos. La decisión coincide con la del evaluador vigente en el 100 % de los casos de prueba</t>
        </is>
      </c>
      <c r="E6" s="46" t="inlineStr">
        <is>
          <t>RF-02, RF-03, RF-06, RF-08, RF-09, RF-16, RNF-10; verificación de H-18. Condicionado: RF-12</t>
        </is>
      </c>
      <c r="F6" s="46" t="inlineStr">
        <is>
          <t>Etiqueta v2</t>
        </is>
      </c>
      <c r="G6" s="46" t="n">
        <v>60</v>
      </c>
    </row>
    <row r="7" ht="33.75" customHeight="1" s="31">
      <c r="A7" s="47" t="n">
        <v>3</v>
      </c>
      <c r="B7" s="47" t="inlineStr">
        <is>
          <t>26/10</t>
        </is>
      </c>
      <c r="C7" s="47" t="inlineStr">
        <is>
          <t>07/11</t>
        </is>
      </c>
      <c r="D7" s="47" t="inlineStr">
        <is>
          <t>RIGE descubre los siete tipos de entrada, advierte ante una versión distinta de la 1.18.25, detecta los seis tipos de hallazgo con cero falsos positivos, y la interfaz web local presenta la vista de hallazgos con los mismos resultados que la línea de comandos</t>
        </is>
      </c>
      <c r="E7" s="47" t="inlineStr">
        <is>
          <t>RF-04, RF-05, RF-07, RNF-02, RNF-04, RNF-05. Condicionados: RF-10, RF-11, RNF-08</t>
        </is>
      </c>
      <c r="F7" s="47" t="inlineStr">
        <is>
          <t>Etiqueta v3</t>
        </is>
      </c>
      <c r="G7" s="47" t="n">
        <v>30</v>
      </c>
    </row>
    <row r="8" ht="33.75" customHeight="1" s="31">
      <c r="A8" s="46" t="n">
        <v>4</v>
      </c>
      <c r="B8" s="46" t="inlineStr">
        <is>
          <t>09/11</t>
        </is>
      </c>
      <c r="C8" s="46" t="inlineStr">
        <is>
          <t>14/11</t>
        </is>
      </c>
      <c r="D8" s="46" t="inlineStr">
        <is>
          <t>La versión congelada satisface los criterios de aceptación de los dieciocho requisitos Must sin incorporar funcionalidad</t>
        </is>
      </c>
      <c r="E8" s="46" t="inlineStr">
        <is>
          <t>Ninguno nuevo; acreditación de RNF-06 y RNF-07 dentro de la estabilización</t>
        </is>
      </c>
      <c r="F8" s="46" t="inlineStr">
        <is>
          <t>Etiqueta congelada</t>
        </is>
      </c>
      <c r="G8" s="46" t="n">
        <v>11</v>
      </c>
    </row>
    <row r="9" ht="33.75" customHeight="1" s="31">
      <c r="A9" s="47" t="n"/>
      <c r="B9" s="47" t="n"/>
      <c r="C9" s="47" t="n"/>
      <c r="D9" s="47" t="n"/>
      <c r="E9" s="47" t="n"/>
      <c r="F9" s="47" t="n"/>
      <c r="G9" s="47" t="n"/>
    </row>
    <row r="10" ht="33.75" customHeight="1" s="31">
      <c r="A10" s="46" t="n"/>
      <c r="B10" s="46" t="n"/>
      <c r="C10" s="46" t="n"/>
      <c r="D10" s="46" t="n"/>
      <c r="E10" s="46" t="n"/>
      <c r="F10" s="46" t="n"/>
      <c r="G10" s="46" t="n"/>
    </row>
    <row r="11" ht="33.75" customHeight="1" s="31">
      <c r="A11" s="47" t="n"/>
      <c r="B11" s="47" t="n"/>
      <c r="C11" s="47" t="n"/>
      <c r="D11" s="47" t="n"/>
      <c r="E11" s="47" t="n"/>
      <c r="F11" s="47" t="n"/>
      <c r="G11" s="47" t="n"/>
    </row>
    <row r="12" ht="33.75" customHeight="1" s="31">
      <c r="A12" s="46" t="n"/>
      <c r="B12" s="46" t="n"/>
      <c r="C12" s="46" t="n"/>
      <c r="D12" s="46" t="n"/>
      <c r="E12" s="46" t="n"/>
      <c r="F12" s="46" t="n"/>
      <c r="G12" s="46" t="n"/>
    </row>
    <row r="13"/>
    <row r="14"/>
    <row r="15" ht="15" customHeight="1" s="31">
      <c r="A15" s="48" t="inlineStr">
        <is>
          <t>Presupuesto de horas-persona</t>
        </is>
      </c>
    </row>
    <row r="16" ht="21.75" customHeight="1" s="31">
      <c r="A16" s="49" t="inlineStr">
        <is>
          <t>Integrantes del equipo</t>
        </is>
      </c>
      <c r="B16" s="40" t="n">
        <v>1</v>
      </c>
    </row>
    <row r="17" ht="21.75" customHeight="1" s="31">
      <c r="A17" s="49" t="inlineStr">
        <is>
          <t>Horas semanales reales por integrante (declaradas, no deseadas)</t>
        </is>
      </c>
      <c r="B17" s="40" t="n">
        <v>28</v>
      </c>
    </row>
    <row r="18" ht="21.75" customHeight="1" s="31">
      <c r="A18" s="49" t="inlineStr">
        <is>
          <t>Semanas del período</t>
        </is>
      </c>
      <c r="B18" s="40" t="n">
        <v>8</v>
      </c>
    </row>
    <row r="19" ht="21.75" customHeight="1" s="31">
      <c r="A19" s="50" t="inlineStr">
        <is>
          <t>Presupuesto total</t>
        </is>
      </c>
      <c r="B19" s="41">
        <f>IF(COUNT(B16:B18)=3,B16*B17*B18,"")</f>
        <v/>
      </c>
    </row>
    <row r="20" ht="21.75" customHeight="1" s="31">
      <c r="A20" s="49" t="inlineStr">
        <is>
          <t>Reducción prevista por exámenes y feriados (horas)</t>
        </is>
      </c>
      <c r="B20" s="40" t="n">
        <v>34</v>
      </c>
    </row>
    <row r="21" ht="21.75" customHeight="1" s="31">
      <c r="A21" s="50" t="inlineStr">
        <is>
          <t>Presupuesto efectivo resultante</t>
        </is>
      </c>
      <c r="B21" s="41">
        <f>IF(B19="","",B19-N(B20))</f>
        <v/>
      </c>
    </row>
    <row r="22" ht="21.75" customHeight="1" s="31">
      <c r="A22" s="50" t="inlineStr">
        <is>
          <t>Horas ya asignadas a iteraciones</t>
        </is>
      </c>
      <c r="B22" s="41">
        <f>SUM(G5:G12)</f>
        <v/>
      </c>
    </row>
    <row r="23" ht="21.75" customHeight="1" s="31">
      <c r="A23" s="50" t="inlineStr">
        <is>
          <t>Margen disponible</t>
        </is>
      </c>
      <c r="B23" s="41">
        <f>IF(B21="","",B21-B22)</f>
        <v/>
      </c>
    </row>
    <row r="24"/>
    <row r="25" ht="15" customHeight="1" s="31">
      <c r="A25" s="48" t="inlineStr">
        <is>
          <t>Cláusula de contingencia (exigencia vii de la consigna)</t>
        </is>
      </c>
    </row>
    <row r="26" ht="25.5" customHeight="1" s="31">
      <c r="A26" s="50" t="inlineStr">
        <is>
          <t>Si el presupuesto de horas cae un tercio, se posterga</t>
        </is>
      </c>
      <c r="B26" s="49" t="inlineStr">
        <is>
          <t>Se posterga, en este orden, hasta cubrir la caída de la capacidad técnica: 1) Requisitos Should RF-10, RF-11, RF-12, RNF-06, RNF-07 y RNF-08, que carecen de horas asignadas, incluidas las acreditaciones en Windows 11 y de RNF-07 dentro de la estabilización (0 h); 2) Regeneración automática de los resultados de referencia, sustituida por una regeneración manual registrada en la bitácora (2 h); 3) Vista web de consulta de permiso; la decisión se conserva por línea de comandos; la parte de los criterios de RF-02 y RF-03 que exige coincidencia con la interfaz web queda sin cumplir (4 h); 4) Explicación en lenguaje natural de las decisiones de permiso, mediante plantillas de RF-02 y explicación a pedido (5 h); 5) RF-04 · descubrimiento completo; se conservan las entradas de archivo del v1 (8 h); 6) RF-07 · hallazgos, con su vista web y su salida por línea de comandos (CU-04) (16 h); 7) Estabilización, reducida de 11 h a 1 h (10 h).</t>
        </is>
      </c>
      <c r="C26" s="51" t="n"/>
      <c r="D26" s="51" t="n"/>
      <c r="E26" s="51" t="n"/>
      <c r="F26" s="52" t="n"/>
    </row>
    <row r="27" ht="25.5" customHeight="1" s="31">
      <c r="A27" s="50" t="inlineStr">
        <is>
          <t>Criterio de redistribución, según el acta de constitución</t>
        </is>
      </c>
      <c r="B27" s="49" t="inlineStr">
        <is>
          <t>En el proyecto individual, la redistribución traslada trabajo entre iteraciones: lo postergado vuelve a la iteración siguiente si la capacidad se recupera. El orden posterga primero lo que no interviene en la medición final ni en la mitigación del riesgo principal y, dentro de ello, lo que debilita en menor medida un objetivo específico. Toda postergación se registra en la bitácora y en el tablero y se refleja en la prioridad del catálogo; si afecta un requisito Must, también modifica el producto mínimo viable (V.5)</t>
        </is>
      </c>
      <c r="C27" s="51" t="n"/>
      <c r="D27" s="51" t="n"/>
      <c r="E27" s="51" t="n"/>
      <c r="F27" s="52" t="n"/>
    </row>
    <row r="28" ht="25.5" customHeight="1" s="31">
      <c r="A28" s="50" t="inlineStr">
        <is>
          <t>Qué no se sacrifica en ningún caso</t>
        </is>
      </c>
      <c r="B28" s="49" t="inlineStr">
        <is>
          <t>La trazabilidad del catálogo y la ejecutabilidad de cada etiqueta, que la cátedra fija como condiciones de cómputo; la fidelidad respecto de OpenCode 1.18.25 (RNF-02); las restricciones de seguridad RNF-01, RNF-04 y RNF-05; CU-01 en su forma mínima con la advertencia de versión, CU-02, CU-03 con la decisión de RF-02, RF-06, RF-08 y RF-09, y RF-03</t>
        </is>
      </c>
      <c r="C28" s="51" t="n"/>
      <c r="D28" s="51" t="n"/>
      <c r="E28" s="51" t="n"/>
      <c r="F28" s="52" t="n"/>
    </row>
  </sheetData>
  <mergeCells count="5">
    <mergeCell ref="A1:G1"/>
    <mergeCell ref="B28:F28"/>
    <mergeCell ref="A2:G2"/>
    <mergeCell ref="B26:F26"/>
    <mergeCell ref="B27:F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38"/>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0" min="1" max="1"/>
    <col width="30" customWidth="1" style="30" min="2" max="2"/>
    <col width="11" customWidth="1" style="30" min="3" max="3"/>
    <col width="14" customWidth="1" style="30" min="4" max="4"/>
    <col width="15" customWidth="1" style="30" min="5" max="6"/>
    <col width="46" customWidth="1" style="30" min="7" max="7"/>
  </cols>
  <sheetData>
    <row r="1" ht="19.5" customHeight="1" s="31">
      <c r="A1" s="32" t="inlineStr">
        <is>
          <t>Dimensionamiento de recursos · Capítulo X</t>
        </is>
      </c>
    </row>
    <row r="2" ht="25.5" customHeight="1" s="31">
      <c r="A2" s="33" t="inlineStr">
        <is>
          <t>Cada asignación con su justificación y su fuente. Toda cifra de costo responde las tres preguntas: quién la produjo, con qué método y sobre qué universo, y para qué período de referencia. No se promedian cifras de universos distintos.</t>
        </is>
      </c>
    </row>
    <row r="4" ht="30" customHeight="1" s="31">
      <c r="A4" s="43" t="inlineStr">
        <is>
          <t>Clase</t>
        </is>
      </c>
      <c r="B4" s="43" t="inlineStr">
        <is>
          <t>Concepto</t>
        </is>
      </c>
      <c r="C4" s="43" t="inlineStr">
        <is>
          <t>Cantidad</t>
        </is>
      </c>
      <c r="D4" s="43" t="inlineStr">
        <is>
          <t>Unidad</t>
        </is>
      </c>
      <c r="E4" s="43" t="inlineStr">
        <is>
          <t>Costo unitario</t>
        </is>
      </c>
      <c r="F4" s="43" t="inlineStr">
        <is>
          <t>Subtotal</t>
        </is>
      </c>
      <c r="G4" s="43" t="inlineStr">
        <is>
          <t>Fuente, período y justificación</t>
        </is>
      </c>
    </row>
    <row r="5" ht="33.75" customHeight="1" s="31">
      <c r="A5" s="44" t="inlineStr">
        <is>
          <t>Humanos</t>
        </is>
      </c>
      <c r="B5" s="44" t="inlineStr">
        <is>
          <t>Autor, perfil único de desarrollo: capacidad técnica</t>
        </is>
      </c>
      <c r="C5" s="44" t="n">
        <v>136</v>
      </c>
      <c r="D5" s="44" t="inlineStr">
        <is>
          <t>hora</t>
        </is>
      </c>
      <c r="E5" s="53" t="n">
        <v>8876</v>
      </c>
      <c r="F5" s="54">
        <f>IF(OR($C5="",$E5=""),"",$C5*$E5)</f>
        <v/>
      </c>
      <c r="G5" s="44" t="inlineStr">
        <is>
          <t>Costo de hora en pesos derivado de la mediana bruta mensual de seniority junior de Sysarmy 2026.01 (Sysarmy, 2026), según la tabla 34.2. Las 136 h cubren las tareas de los dieciocho requisitos Must de la Tabla 18 (apartado V.4); los requisitos Should no reciben horas. La autoría es individual (apartado V.3), y un solo perfil cubre el núcleo, el adaptador, el almacén y las dos interfaces, porque la interfaz web es mínima (Anexo III, D-37)</t>
        </is>
      </c>
    </row>
    <row r="6" ht="33.75" customHeight="1" s="31">
      <c r="A6" s="46" t="inlineStr">
        <is>
          <t>Humanos</t>
        </is>
      </c>
      <c r="B6" s="46" t="inlineStr">
        <is>
          <t>Autor: reserva documental y de validación</t>
        </is>
      </c>
      <c r="C6" s="46" t="n">
        <v>54</v>
      </c>
      <c r="D6" s="46" t="inlineStr">
        <is>
          <t>hora</t>
        </is>
      </c>
      <c r="E6" s="55" t="n">
        <v>8876</v>
      </c>
      <c r="F6" s="54">
        <f>IF(OR($C6="",$E6=""),"",$C6*$E6)</f>
        <v/>
      </c>
      <c r="G6" s="46" t="inlineStr">
        <is>
          <t>Mismo costo de hora (Sysarmy, 2026). Financia el cierre del informe de la AE2 (14 h), la Ventana y las correcciones del AE1 (20 h), que incluyen la línea de base con agentes (16 a 23 h, Anexo III, D-41), los Capítulos VI y IX (13 h) y la preparación de la medición final (7 h), según el apartado V.4. No se asigna a requisitos</t>
        </is>
      </c>
    </row>
    <row r="7" ht="33.75" customHeight="1" s="31">
      <c r="A7" s="47" t="inlineStr">
        <is>
          <t>Humanos</t>
        </is>
      </c>
      <c r="B7" s="47" t="inlineStr">
        <is>
          <t>Referente técnica de la organización consultada (recurso externo)</t>
        </is>
      </c>
      <c r="C7" s="47" t="n"/>
      <c r="D7" s="47" t="inlineStr">
        <is>
          <t>hora</t>
        </is>
      </c>
      <c r="E7" s="56" t="n">
        <v>0</v>
      </c>
      <c r="F7" s="54">
        <f>IF(OR($C7="",$E7=""),"",$C7*$E7)</f>
        <v/>
      </c>
      <c r="G7" s="47" t="inlineStr">
        <is>
          <t>Sin costo y fuera del cómputo de horas del proyecto, que corresponden solo al autor. Dedicación registrada: sesión de validación del 26/09/2026 (35 min, presencial), más la constancia de la fase de cierre (apartado V.4). Su participación sostiene el estado «Validado» del catálogo y la conformidad de la medición final</t>
        </is>
      </c>
    </row>
    <row r="8" ht="33.75" customHeight="1" s="31">
      <c r="A8" s="46" t="inlineStr">
        <is>
          <t>Físicos y materiales</t>
        </is>
      </c>
      <c r="B8" s="46" t="inlineStr">
        <is>
          <t>Notebook Samsung Galaxy Book3 (750XFG): Intel Core i7-1355U (10 núcleos, 12 hilos), 16 GB LPDDR4x, SSD NVMe de 512 GB, Windows 11 Home 10.0.26200</t>
        </is>
      </c>
      <c r="C8" s="46" t="n">
        <v>1</v>
      </c>
      <c r="D8" s="46" t="inlineStr">
        <is>
          <t>equipo</t>
        </is>
      </c>
      <c r="E8" s="55" t="n">
        <v>0</v>
      </c>
      <c r="F8" s="54">
        <f>IF(OR($C8="",$E8=""),"",$C8*$E8)</f>
        <v/>
      </c>
      <c r="G8" s="46" t="inlineStr">
        <is>
          <t>Bien propio del autor, preexistente; no se adquiere. RIGE opera en forma local y sin servidor (RNF-05), de modo que el modo de operación no exige un dispositivo específico. El equipo aloja el desarrollo, la plataforma Windows 11 declarada (RNF-06) y el entorno Linux de referencia de las mediciones (Anexo III, D-47). Especificaciones medidas el 28/09/2026</t>
        </is>
      </c>
    </row>
    <row r="9" ht="33.75" customHeight="1" s="31">
      <c r="A9" s="47" t="inlineStr">
        <is>
          <t>Físicos y materiales</t>
        </is>
      </c>
      <c r="B9" s="47" t="inlineStr">
        <is>
          <t>Conexión a internet y espacio de trabajo del autor</t>
        </is>
      </c>
      <c r="C9" s="47" t="n">
        <v>1</v>
      </c>
      <c r="D9" s="47" t="inlineStr">
        <is>
          <t>servicio</t>
        </is>
      </c>
      <c r="E9" s="56" t="n">
        <v>0</v>
      </c>
      <c r="F9" s="54">
        <f>IF(OR($C9="",$E9=""),"",$C9*$E9)</f>
        <v/>
      </c>
      <c r="G9" s="47" t="inlineStr">
        <is>
          <t>Preexistentes y sin costo atribuible. La conexión es necesaria para el desarrollo, el canal de integración continua y la medición con agentes, pero no para el uso de RIGE, que no realiza conexiones salientes (RNF-05).</t>
        </is>
      </c>
    </row>
    <row r="10" ht="33.75" customHeight="1" s="31">
      <c r="A10" s="46" t="inlineStr">
        <is>
          <t>Financieros</t>
        </is>
      </c>
      <c r="B10" s="46" t="inlineStr">
        <is>
          <t>Suscripción ChatGPT Plus para la medición con agentes</t>
        </is>
      </c>
      <c r="C10" s="46" t="n">
        <v>2</v>
      </c>
      <c r="D10" s="46" t="inlineStr">
        <is>
          <t>mes</t>
        </is>
      </c>
      <c r="E10" s="55" t="inlineStr">
        <is>
          <t>USD 20</t>
        </is>
      </c>
      <c r="F10" s="54">
        <f>IF(OR($C10="",$E10=""),"",$C10*$E10)</f>
        <v/>
      </c>
      <c r="G10" s="46" t="inlineStr">
        <is>
          <t>Precio de lista de OpenAI (s. f.-a), consultado el 01/10/2026. Sostiene la ejecución de los agentes con modelos de OpenAI desde OpenCode en la línea de base y en la medición final, durante octubre y noviembre de 2026 (Anexo III, D-48). El consumo se registra en tokens por caso y por modelo y se valoriza a precio de lista de la API solo como equivalente informativo (tabla 34.2). Si los límites de uso impiden completar la medición, se reducen las repeticiones de los modelos secundarios antes que el principal. Las cifras en dólares se mantienen separadas del total en pesos</t>
        </is>
      </c>
    </row>
    <row r="11" ht="33.75" customHeight="1" s="31">
      <c r="A11" s="47" t="inlineStr">
        <is>
          <t>Tecnológicos</t>
        </is>
      </c>
      <c r="B11" s="47" t="inlineStr">
        <is>
          <t>Lenguaje TypeScript</t>
        </is>
      </c>
      <c r="C11" s="47" t="n">
        <v>1</v>
      </c>
      <c r="D11" s="47" t="inlineStr">
        <is>
          <t>licencia</t>
        </is>
      </c>
      <c r="E11" s="56" t="n">
        <v>0</v>
      </c>
      <c r="F11" s="54">
        <f>IF(OR($C11="",$E11=""),"",$C11*$E11)</f>
        <v/>
      </c>
      <c r="G11" s="47" t="inlineStr">
        <is>
          <t>Licencia Apache 2.0. Versión 7.0.2, fijada en forma exacta; solo verifica tipos y no interviene en la ejecución (Anexo III, D-56). Permite ejecutar sin adaptación el código del evaluador de permisos de OpenCode, escrito en TypeScript. Alternativa descartada: otro lenguaje, que obliga a portar el evaluador y contradice la incorporación del evaluador por copia (Anexo III, D-06 y D-42)</t>
        </is>
      </c>
    </row>
    <row r="12" ht="33.75" customHeight="1" s="31">
      <c r="A12" s="46" t="inlineStr">
        <is>
          <t>Tecnológicos</t>
        </is>
      </c>
      <c r="B12" s="46" t="inlineStr">
        <is>
          <t>Entorno de ejecución Bun 1.3.14</t>
        </is>
      </c>
      <c r="C12" s="46" t="n">
        <v>1</v>
      </c>
      <c r="D12" s="46" t="inlineStr">
        <is>
          <t>licencia</t>
        </is>
      </c>
      <c r="E12" s="55" t="n">
        <v>0</v>
      </c>
      <c r="F12" s="54">
        <f>IF(OR($C12="",$E12=""),"",$C12*$E12)</f>
        <v/>
      </c>
      <c r="G12" s="46" t="inlineStr">
        <is>
          <t>Licencia MIT. Es la misma versión que declara OpenCode 1.18.25 en `packageManager`. Integra SQLite, ejecutor de pruebas y servidor HTTP, con un solo prerrequisito para la cátedra. Alternativa descartada: Node.js LTS, porque ejecutar las funciones copiadas en el mismo motor de JavaScript que el oráculo (Bun) elimina una fuente de divergencia (Anexo III, D-42)</t>
        </is>
      </c>
    </row>
    <row r="13" ht="33.75" customHeight="1" s="31">
      <c r="A13" s="47" t="inlineStr">
        <is>
          <t>Tecnológicos</t>
        </is>
      </c>
      <c r="B13" s="47" t="inlineStr">
        <is>
          <t>Motor de base de datos SQLite embebido (`bun:sqlite`)</t>
        </is>
      </c>
      <c r="C13" s="47" t="n">
        <v>1</v>
      </c>
      <c r="D13" s="47" t="inlineStr">
        <is>
          <t>licencia</t>
        </is>
      </c>
      <c r="E13" s="56" t="n">
        <v>0</v>
      </c>
      <c r="F13" s="54">
        <f>IF(OR($C13="",$E13=""),"",$C13*$E13)</f>
        <v/>
      </c>
      <c r="G13" s="47" t="inlineStr">
        <is>
          <t>Dominio público. Es un motor real, con esquema creado por guion y sin servidor ni credenciales. Alternativa descartada: PostgreSQL, que agrega un servicio y credenciales sin requisito que lo justifique (Anexo III, D-45 y D-23)</t>
        </is>
      </c>
    </row>
    <row r="14" ht="33.75" customHeight="1" s="31">
      <c r="A14" s="46" t="inlineStr">
        <is>
          <t>Tecnológicos</t>
        </is>
      </c>
      <c r="B14" s="46" t="inlineStr">
        <is>
          <t>Evaluador de permisos de OpenCode 1.18.25, incorporado por copia atribuida</t>
        </is>
      </c>
      <c r="C14" s="46" t="n">
        <v>1</v>
      </c>
      <c r="D14" s="46" t="inlineStr">
        <is>
          <t>licencia</t>
        </is>
      </c>
      <c r="E14" s="55" t="n">
        <v>0</v>
      </c>
      <c r="F14" s="54">
        <f>IF(OR($C14="",$E14=""),"",$C14*$E14)</f>
        <v/>
      </c>
      <c r="G14" s="46" t="inlineStr">
        <is>
          <t>Licencia MIT, «Copyright (c) 2025 opencode». Se copian cuatro funciones puras y las reglas nativas, y se conserva la atribución. Alternativas descartadas: dependencia del paquete publicado (no expone el módulo) e invocación del binario (confunde producto y oráculo) (Anexo III, D-06 y D-44)</t>
        </is>
      </c>
    </row>
    <row r="15" ht="33.75" customHeight="1" s="31">
      <c r="A15" s="47" t="inlineStr">
        <is>
          <t>Tecnológicos</t>
        </is>
      </c>
      <c r="B15" s="47" t="inlineStr">
        <is>
          <t>OpenCode 1.18.25 como oráculo y herramienta de prueba y de medición</t>
        </is>
      </c>
      <c r="C15" s="47" t="n">
        <v>1</v>
      </c>
      <c r="D15" s="47" t="inlineStr">
        <is>
          <t>licencia</t>
        </is>
      </c>
      <c r="E15" s="56" t="n">
        <v>0</v>
      </c>
      <c r="F15" s="54">
        <f>IF(OR($C15="",$E15=""),"",$C15*$E15)</f>
        <v/>
      </c>
      <c r="G15" s="47" t="inlineStr">
        <is>
          <t>Licencia MIT. Es la versión congelada. Fija los resultados de referencia (Anexo III, D-34) y ejecuta los agentes de la medición con modelos de OpenAI sobre ChatGPT Plus (Anexo III, D-41 y D-48; apartado X.3)</t>
        </is>
      </c>
    </row>
    <row r="16" ht="33.75" customHeight="1" s="31">
      <c r="A16" s="46" t="inlineStr">
        <is>
          <t>Tecnológicos</t>
        </is>
      </c>
      <c r="B16" s="46" t="inlineStr">
        <is>
          <t>Imagen de contenedor Ubuntu 26.04 con Docker Desktop 4.90.0 sobre WSL 2 (2.7.10)</t>
        </is>
      </c>
      <c r="C16" s="46" t="n">
        <v>1</v>
      </c>
      <c r="D16" s="46" t="inlineStr">
        <is>
          <t>licencia</t>
        </is>
      </c>
      <c r="E16" s="55" t="n">
        <v>0</v>
      </c>
      <c r="F16" s="54">
        <f>IF(OR($C16="",$E16=""),"",$C16*$E16)</f>
        <v/>
      </c>
      <c r="G16" s="46" t="inlineStr">
        <is>
          <t>Docker Desktop: gratuito para uso personal, educativo, en proyectos de código abierto no comerciales y en empresas de menos de 250 empleados y menos de USD 10 millones de ingresos anuales (Docker Subscription Service Agreement, §3.2, consultado el 28/09/2026). WSL 2: componente de Windows. Aloja el oráculo, la medición con agentes y la de RNF-07, con aislamiento y reproducibilidad por construcción. Alternativas descartadas: distribución WSL dedicada y máquina virtual completa (Anexo III, D-47). Recursos fijados con `.wslconfig` (8 GB, 12 procesadores)</t>
        </is>
      </c>
    </row>
    <row r="17" ht="33.75" customHeight="1" s="31">
      <c r="A17" s="47" t="inlineStr">
        <is>
          <t>Tecnológicos</t>
        </is>
      </c>
      <c r="B17" s="47" t="inlineStr">
        <is>
          <t>GitHub: repositorio y canal de integración continua (GitHub Actions)</t>
        </is>
      </c>
      <c r="C17" s="47" t="n">
        <v>1</v>
      </c>
      <c r="D17" s="47" t="inlineStr">
        <is>
          <t>servicio</t>
        </is>
      </c>
      <c r="E17" s="56" t="n">
        <v>0</v>
      </c>
      <c r="F17" s="54">
        <f>IF(OR($C17="",$E17=""),"",$C17*$E17)</f>
        <v/>
      </c>
      <c r="G17" s="47" t="inlineStr">
        <is>
          <t>Plan gratuito. El repositorio es **privado, con el docente como colaborador**, conforme a la regla de acceso de la cátedra (Guía AE2, §2.3); se publica bajo licencia MIT tras la aprobación. En un repositorio privado, GitHub Actions consume la cuota del plan gratuito, de 2.000 minutos mensuales en ejecutores estándar (documentación de facturación de GitHub, consultada el 28/09/2026), suficiente para el canal previsto. Es el servicio que nombran la guía de comprobación del v1 y las reglas de la cátedra (`.github/workflows/ci.yml`). Alternativa descartada: GitLab CI, que obliga a replicar el repositorio (Anexo III, D-46)</t>
        </is>
      </c>
    </row>
    <row r="18" ht="33.75" customHeight="1" s="31">
      <c r="A18" s="46" t="inlineStr">
        <is>
          <t>Tecnológicos</t>
        </is>
      </c>
      <c r="B18" s="46" t="inlineStr">
        <is>
          <t>Asistente de contraste, coherencia y redacción Claude Code (plan Claude Pro, Anthropic)</t>
        </is>
      </c>
      <c r="C18" s="46" t="n">
        <v>1</v>
      </c>
      <c r="D18" s="46" t="inlineStr">
        <is>
          <t>suscripción</t>
        </is>
      </c>
      <c r="E18" s="55" t="n">
        <v>0</v>
      </c>
      <c r="F18" s="54">
        <f>IF(OR($C18="",$E18=""),"",$C18*$E18)</f>
        <v/>
      </c>
      <c r="G18" s="46" t="inlineStr">
        <is>
          <t>Suscripción personal del autor, pagada desde julio de 2026, anterior al período e independiente del proyecto: sin costo atribuible (Anexo III, D-49). La estimación de horas de la Tabla 18 no supone su uso. Asiste en el contraste de alternativas, la verificación de coherencia y la redacción sobre contenido propio. Las decisiones, los datos, la validación con la referente y la aceptación de las pruebas quedan a cargo del autor. Su función y los artefactos afectados se declaran en la bitácora y en el archivo de lectura del v1</t>
        </is>
      </c>
    </row>
    <row r="19" ht="33.75" customHeight="1" s="31">
      <c r="A19" s="47" t="inlineStr">
        <is>
          <t>Tecnológicos</t>
        </is>
      </c>
      <c r="B19" s="47" t="inlineStr">
        <is>
          <t>Codex, gpt-6.1-sol, sobre ChatGPT Plus</t>
        </is>
      </c>
      <c r="C19" s="47" t="n">
        <v>1</v>
      </c>
      <c r="D19" s="47" t="inlineStr">
        <is>
          <t>herramienta</t>
        </is>
      </c>
      <c r="E19" s="56" t="n">
        <v>0</v>
      </c>
      <c r="F19" s="54">
        <f>IF(OR($C19="",$E19=""),"",$C19*$E19)</f>
        <v/>
      </c>
      <c r="G19" s="47" t="inlineStr">
        <is>
          <t>Asiste en la escritura del código sobre fichas del autor, revisada por el autor, y en la redacción sobre contenido propio (Anexo III, D-49). La suscripción figura en la partida financiera y su función y los artefactos afectados se declaran en la bitácora y en el archivo de lectura del v1</t>
        </is>
      </c>
    </row>
    <row r="20" ht="33.75" customHeight="1" s="31">
      <c r="A20" s="46" t="inlineStr">
        <is>
          <t>Tecnológicos</t>
        </is>
      </c>
      <c r="B20" s="46" t="inlineStr">
        <is>
          <t>Trello</t>
        </is>
      </c>
      <c r="C20" s="46" t="n">
        <v>1</v>
      </c>
      <c r="D20" s="46" t="inlineStr">
        <is>
          <t>servicio</t>
        </is>
      </c>
      <c r="E20" s="55" t="n">
        <v>0</v>
      </c>
      <c r="F20" s="54">
        <f>IF(OR($C20="",$E20=""),"",$C20*$E20)</f>
        <v/>
      </c>
      <c r="G20" s="46" t="inlineStr">
        <is>
          <t>Tablero de gestión exigido por la consigna, en su plan gratuito</t>
        </is>
      </c>
    </row>
    <row r="21" ht="33.75" customHeight="1" s="31">
      <c r="A21" s="47" t="inlineStr">
        <is>
          <t>Tecnológicos</t>
        </is>
      </c>
      <c r="B21" s="47" t="inlineStr">
        <is>
          <t>matplotlib 3.11.0</t>
        </is>
      </c>
      <c r="C21" s="47" t="n">
        <v>1</v>
      </c>
      <c r="D21" s="47" t="inlineStr">
        <is>
          <t>licencia</t>
        </is>
      </c>
      <c r="E21" s="56" t="n">
        <v>0</v>
      </c>
      <c r="F21" s="54">
        <f>IF(OR($C21="",$E21=""),"",$C21*$E21)</f>
        <v/>
      </c>
      <c r="G21" s="47" t="inlineStr">
        <is>
          <t>Generación de las figuras; licencia de matplotlib, basada en PSF</t>
        </is>
      </c>
    </row>
    <row r="22" ht="33.75" customHeight="1" s="31">
      <c r="A22" s="46" t="inlineStr">
        <is>
          <t>Otros</t>
        </is>
      </c>
      <c r="B22" s="46" t="inlineStr">
        <is>
          <t>Licencias de terceros y atribución</t>
        </is>
      </c>
      <c r="C22" s="46" t="n">
        <v>1</v>
      </c>
      <c r="D22" s="46" t="inlineStr">
        <is>
          <t>obligación</t>
        </is>
      </c>
      <c r="E22" s="55" t="n">
        <v>0</v>
      </c>
      <c r="F22" s="54">
        <f>IF(OR($C22="",$E22=""),"",$C22*$E22)</f>
        <v/>
      </c>
      <c r="G22" s="46" t="inlineStr">
        <is>
          <t>Se publica la atribución MIT de OpenCode junto al código copiado y la licencia MIT de RIGE (Anexo III, D-31). No hay licencias pagas</t>
        </is>
      </c>
    </row>
    <row r="23" ht="33.75" customHeight="1" s="31">
      <c r="A23" s="47" t="inlineStr">
        <is>
          <t>Otros</t>
        </is>
      </c>
      <c r="B23" s="47" t="inlineStr">
        <is>
          <t>Capacitación</t>
        </is>
      </c>
      <c r="C23" s="47" t="n">
        <v>0</v>
      </c>
      <c r="D23" s="47" t="inlineStr">
        <is>
          <t>hora</t>
        </is>
      </c>
      <c r="E23" s="56" t="n">
        <v>0</v>
      </c>
      <c r="F23" s="54">
        <f>IF(OR($C23="",$E23=""),"",$C23*$E23)</f>
        <v/>
      </c>
      <c r="G23" s="47" t="inlineStr">
        <is>
          <t>Sin horas propias: el autor declara experiencia previa en TypeScript (Anexo III, D-42). El estudio del código de OpenCode se realizó en el relevamiento (Anexo I, A.I.3), y la curva de Bun se absorbe en las tareas de la Tabla 18</t>
        </is>
      </c>
    </row>
    <row r="24" ht="33.75" customHeight="1" s="31">
      <c r="A24" s="46" t="inlineStr">
        <is>
          <t>Otros</t>
        </is>
      </c>
      <c r="B24" s="46" t="inlineStr">
        <is>
          <t>Migración de datos</t>
        </is>
      </c>
      <c r="C24" s="46" t="n">
        <v>0</v>
      </c>
      <c r="D24" s="46" t="n"/>
      <c r="E24" s="55" t="n">
        <v>0</v>
      </c>
      <c r="F24" s="54">
        <f>IF(OR($C24="",$E24=""),"",$C24*$E24)</f>
        <v/>
      </c>
      <c r="G24" s="46" t="inlineStr">
        <is>
          <t>No aplica. RIGE es de solo lectura y no reemplaza ningún repositorio de datos: lee las entradas de configuración en su lugar. El sustituto que desplaza es un procedimiento, manual o delegado en un agente, y no una planilla</t>
        </is>
      </c>
    </row>
    <row r="25" ht="33.75" customHeight="1" s="31">
      <c r="A25" s="47" t="inlineStr">
        <is>
          <t>Otros</t>
        </is>
      </c>
      <c r="B25" s="47" t="inlineStr">
        <is>
          <t>Soporte posterior al período</t>
        </is>
      </c>
      <c r="C25" s="47" t="n">
        <v>0</v>
      </c>
      <c r="D25" s="47" t="inlineStr">
        <is>
          <t>hora</t>
        </is>
      </c>
      <c r="E25" s="56" t="n">
        <v>0</v>
      </c>
      <c r="F25" s="54">
        <f>IF(OR($C25="",$E25=""),"",$C25*$E25)</f>
        <v/>
      </c>
      <c r="G25" s="47" t="inlineStr">
        <is>
          <t>Fuera del período: readaptación ante cada versión de OpenCode, sin financiamiento asegurado (apartado IV.1, estructura de costos). No integra el presupuesto</t>
        </is>
      </c>
    </row>
    <row r="26" ht="33.75" customHeight="1" s="31">
      <c r="A26" s="46" t="n"/>
      <c r="B26" s="46" t="n"/>
      <c r="C26" s="46" t="n"/>
      <c r="D26" s="46" t="n"/>
      <c r="E26" s="55" t="n"/>
      <c r="F26" s="54">
        <f>IF(OR($C26="",$E26=""),"",$C26*$E26)</f>
        <v/>
      </c>
      <c r="G26" s="46" t="n"/>
    </row>
    <row r="27" ht="33.75" customHeight="1" s="31">
      <c r="A27" s="47" t="n"/>
      <c r="B27" s="47" t="n"/>
      <c r="C27" s="47" t="n"/>
      <c r="D27" s="47" t="n"/>
      <c r="E27" s="56" t="n"/>
      <c r="F27" s="54">
        <f>IF(OR($C27="",$E27=""),"",$C27*$E27)</f>
        <v/>
      </c>
      <c r="G27" s="47" t="n"/>
    </row>
    <row r="28" ht="33.75" customHeight="1" s="31">
      <c r="A28" s="46" t="n"/>
      <c r="B28" s="46" t="n"/>
      <c r="C28" s="46" t="n"/>
      <c r="D28" s="46" t="n"/>
      <c r="E28" s="55" t="n"/>
      <c r="F28" s="54">
        <f>IF(OR($C28="",$E28=""),"",$C28*$E28)</f>
        <v/>
      </c>
      <c r="G28" s="46" t="n"/>
    </row>
    <row r="29" ht="33.75" customHeight="1" s="31">
      <c r="A29" s="47" t="n"/>
      <c r="B29" s="47" t="n"/>
      <c r="C29" s="47" t="n"/>
      <c r="D29" s="47" t="n"/>
      <c r="E29" s="56" t="n"/>
      <c r="F29" s="54">
        <f>IF(OR($C29="",$E29=""),"",$C29*$E29)</f>
        <v/>
      </c>
      <c r="G29" s="47" t="n"/>
    </row>
    <row r="30" ht="33.75" customHeight="1" s="31">
      <c r="A30" s="46" t="n"/>
      <c r="B30" s="46" t="n"/>
      <c r="C30" s="46" t="n"/>
      <c r="D30" s="46" t="n"/>
      <c r="E30" s="55" t="n"/>
      <c r="F30" s="54">
        <f>IF(OR($C30="",$E30=""),"",$C30*$E30)</f>
        <v/>
      </c>
      <c r="G30" s="46" t="n"/>
    </row>
    <row r="31" ht="33.75" customHeight="1" s="31">
      <c r="A31" s="47" t="n"/>
      <c r="B31" s="47" t="n"/>
      <c r="C31" s="47" t="n"/>
      <c r="D31" s="47" t="n"/>
      <c r="E31" s="56" t="n"/>
      <c r="F31" s="54">
        <f>IF(OR($C31="",$E31=""),"",$C31*$E31)</f>
        <v/>
      </c>
      <c r="G31" s="47" t="n"/>
    </row>
    <row r="32" ht="33.75" customHeight="1" s="31">
      <c r="A32" s="46" t="n"/>
      <c r="B32" s="46" t="n"/>
      <c r="C32" s="46" t="n"/>
      <c r="D32" s="46" t="n"/>
      <c r="E32" s="55" t="n"/>
      <c r="F32" s="54">
        <f>IF(OR($C32="",$E32=""),"",$C32*$E32)</f>
        <v/>
      </c>
      <c r="G32" s="46" t="n"/>
    </row>
    <row r="33" ht="33.75" customHeight="1" s="31">
      <c r="A33" s="47" t="n"/>
      <c r="B33" s="47" t="n"/>
      <c r="C33" s="47" t="n"/>
      <c r="D33" s="47" t="n"/>
      <c r="E33" s="56" t="n"/>
      <c r="F33" s="54">
        <f>IF(OR($C33="",$E33=""),"",$C33*$E33)</f>
        <v/>
      </c>
      <c r="G33" s="47" t="n"/>
    </row>
    <row r="34" ht="33.75" customHeight="1" s="31">
      <c r="A34" s="46" t="n"/>
      <c r="B34" s="46" t="n"/>
      <c r="C34" s="46" t="n"/>
      <c r="D34" s="46" t="n"/>
      <c r="E34" s="55" t="n"/>
      <c r="F34" s="54">
        <f>IF(OR($C34="",$E34=""),"",$C34*$E34)</f>
        <v/>
      </c>
      <c r="G34" s="46" t="n"/>
    </row>
    <row r="35"/>
    <row r="36" ht="15" customHeight="1" s="31">
      <c r="E36" s="38" t="inlineStr">
        <is>
          <t>Total general</t>
        </is>
      </c>
      <c r="F36" s="57">
        <f>SUM(F5:F34)</f>
        <v/>
      </c>
    </row>
    <row r="37" ht="15" customHeight="1" s="31">
      <c r="E37" s="38" t="inlineStr">
        <is>
          <t>Horas humanas comprometidas</t>
        </is>
      </c>
      <c r="F37" s="58">
        <f>SUMIF($A$5:$A$34,"Humanos",$C$5:$C$34)</f>
        <v/>
      </c>
    </row>
    <row r="38" ht="15" customHeight="1" s="31">
      <c r="E38" s="38" t="inlineStr">
        <is>
          <t>Coherencia con el Capítulo V</t>
        </is>
      </c>
      <c r="F38" s="58">
        <f>IF(Iteraciones!$B$21="","Falta el presupuesto efectivo",IF(F37=Iteraciones!$B$21,"Coherente",IF(F37&gt;Iteraciones!$B$21,"Excede el presupuesto","No agota el presupuesto: revisar")))</f>
        <v/>
      </c>
    </row>
  </sheetData>
  <mergeCells count="2">
    <mergeCell ref="A2:G2"/>
    <mergeCell ref="A1:G1"/>
  </mergeCells>
  <dataValidations count="1">
    <dataValidation sqref="A5:A34" showDropDown="0" showInputMessage="0" showErrorMessage="1" allowBlank="1" errorTitle="Valor no admitido" error="Clases admitidas: Humanos, Físicos y materiales, Financieros, Tecnológicos u Otros." type="list" errorStyle="stop" operator="between">
      <formula1>"Humanos,Físicos y materiales,Financieros,Tecnológicos,Otros"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2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30" min="1" max="1"/>
    <col width="16" customWidth="1" style="30" min="2" max="2"/>
    <col width="62" customWidth="1" style="30" min="3" max="3"/>
  </cols>
  <sheetData>
    <row r="1" ht="19.5" customHeight="1" s="31">
      <c r="A1" s="32" t="inlineStr">
        <is>
          <t>Panel de control de la entrega</t>
        </is>
      </c>
    </row>
    <row r="2" ht="25.5" customHeight="1" s="31">
      <c r="A2" s="33" t="inlineStr">
        <is>
          <t>Los valores se calculan solos a partir de las demás hojas. Ninguna celda de esta hoja se escribe a mano. Recórrala la noche anterior a la entrega: cada línea en rojo es una observación previsible en la devolución.</t>
        </is>
      </c>
    </row>
    <row r="4" ht="30" customHeight="1" s="31">
      <c r="A4" s="43" t="inlineStr">
        <is>
          <t>Indicador</t>
        </is>
      </c>
      <c r="B4" s="43" t="inlineStr">
        <is>
          <t>Valor</t>
        </is>
      </c>
      <c r="C4" s="43" t="inlineStr">
        <is>
          <t>Qué debe verificarse</t>
        </is>
      </c>
    </row>
    <row r="5" ht="30" customHeight="1" s="31">
      <c r="A5" s="59" t="inlineStr">
        <is>
          <t>Requisitos registrados</t>
        </is>
      </c>
      <c r="B5" s="60">
        <f>COUNTIF(Catálogo!$A$5:$A$201,"?*")</f>
        <v/>
      </c>
      <c r="C5" s="61" t="inlineStr">
        <is>
          <t>Un catálogo de menos de ocho requisitos rara vez cubre el alcance declarado.</t>
        </is>
      </c>
    </row>
    <row r="6" ht="30" customHeight="1" s="31">
      <c r="A6" s="59" t="inlineStr">
        <is>
          <t>Requisitos con criterio de aceptación</t>
        </is>
      </c>
      <c r="B6" s="60">
        <f>COUNTIFS(Catálogo!$A$5:$A$201,"?*",Catálogo!$G$5:$G$201,"?*")</f>
        <v/>
      </c>
      <c r="C6" s="61" t="inlineStr">
        <is>
          <t>Debe coincidir con el total. Un requisito sin criterio no se computa.</t>
        </is>
      </c>
    </row>
    <row r="7" ht="30" customHeight="1" s="31">
      <c r="A7" s="59" t="inlineStr">
        <is>
          <t>Requisitos trazados a un hallazgo o acta</t>
        </is>
      </c>
      <c r="B7" s="60">
        <f>COUNTIFS(Catálogo!$A$5:$A$201,"?*",Catálogo!$H$5:$H$201,"?*")</f>
        <v/>
      </c>
      <c r="C7" s="61" t="inlineStr">
        <is>
          <t>Debe coincidir con el total. Sin origen, el requisito no ingresa al catálogo.</t>
        </is>
      </c>
    </row>
    <row r="8" ht="30" customHeight="1" s="31">
      <c r="A8" s="59" t="inlineStr">
        <is>
          <t>Requisitos no funcionales</t>
        </is>
      </c>
      <c r="B8" s="60">
        <f>COUNTIFS(Catálogo!$A$5:$A$201,"?*",Catálogo!$C$5:$C$201,"No funcional")</f>
        <v/>
      </c>
      <c r="C8" s="61" t="inlineStr">
        <is>
          <t>Un catálogo sin requisitos no funcionales no decidió arquitectura.</t>
        </is>
      </c>
    </row>
    <row r="9" ht="30" customHeight="1" s="31">
      <c r="A9" s="59" t="inlineStr">
        <is>
          <t>No funcionales sin categoría declarada</t>
        </is>
      </c>
      <c r="B9" s="60">
        <f>COUNTIFS(Catálogo!$C$5:$C$201,"No funcional",Catálogo!$D$5:$D$201,"")</f>
        <v/>
      </c>
      <c r="C9" s="61" t="inlineStr">
        <is>
          <t>Debe ser cero.</t>
        </is>
      </c>
    </row>
    <row r="10" ht="30" customHeight="1" s="31">
      <c r="A10" s="59" t="inlineStr">
        <is>
          <t>Requisitos «Must»</t>
        </is>
      </c>
      <c r="B10" s="60">
        <f>COUNTIFS(Catálogo!$A$5:$A$201,"?*",Catálogo!$E$5:$E$201,"Must")</f>
        <v/>
      </c>
      <c r="C10" s="61" t="inlineStr">
        <is>
          <t>Priorizar es nombrar lo que no se hará. Si casi todo es «Must», no se priorizó.</t>
        </is>
      </c>
    </row>
    <row r="11" ht="30" customHeight="1" s="31">
      <c r="A11" s="59" t="inlineStr">
        <is>
          <t>Requisitos declarados dentro del MVP</t>
        </is>
      </c>
      <c r="B11" s="60">
        <f>COUNTIFS(Catálogo!$A$5:$A$201,"?*",Catálogo!$K$5:$K$201,"Sí")</f>
        <v/>
      </c>
      <c r="C11" s="61" t="inlineStr">
        <is>
          <t>Debe coincidir con la cantidad de «Must».</t>
        </is>
      </c>
    </row>
    <row r="12" ht="30" customHeight="1" s="31">
      <c r="A12" s="59" t="inlineStr">
        <is>
          <t>Coherencia entre «Must» y producto mínimo viable</t>
        </is>
      </c>
      <c r="B12" s="60">
        <f>IF(COUNTIFS(Catálogo!$A$5:$A$201,"?*",Catálogo!$E$5:$E$201,"Must")=COUNTIFS(Catálogo!$A$5:$A$201,"?*",Catálogo!$K$5:$K$201,"Sí"),"Coherente","REVISAR")</f>
        <v/>
      </c>
      <c r="C12" s="61" t="inlineStr">
        <is>
          <t>Si dice REVISAR, uno de los dos apartados está mal escrito: el catálogo o el V.5.</t>
        </is>
      </c>
    </row>
    <row r="13" ht="30" customHeight="1" s="31">
      <c r="A13" s="59" t="inlineStr">
        <is>
          <t>Requisitos validados con el referente</t>
        </is>
      </c>
      <c r="B13" s="60">
        <f>COUNTIFS(Catálogo!$A$5:$A$201,"?*",Catálogo!$I$5:$I$201,"Validado")</f>
        <v/>
      </c>
      <c r="C13" s="61" t="inlineStr">
        <is>
          <t>Un requisito redactado y no validado carece de valor probatorio.</t>
        </is>
      </c>
    </row>
    <row r="14" ht="30" customHeight="1" s="31">
      <c r="A14" s="59" t="inlineStr">
        <is>
          <t>Filas del catálogo con campos faltantes</t>
        </is>
      </c>
      <c r="B14" s="60">
        <f>COUNTIF(Catálogo!$L$5:$L$201,"Faltan campos")+COUNTIF(Catálogo!$L$5:$L$201,"Falta categoría")+COUNTIF(Catálogo!$L$5:$L$201,"Falta definir si integra el MVP")</f>
        <v/>
      </c>
      <c r="C14" s="61" t="inlineStr">
        <is>
          <t>Debe ser cero antes de exportar el PDF.</t>
        </is>
      </c>
    </row>
    <row r="15" ht="30" customHeight="1" s="31">
      <c r="A15" s="59" t="inlineStr">
        <is>
          <t>Hallazgos de la AE1 registrados</t>
        </is>
      </c>
      <c r="B15" s="60">
        <f>COUNTIF(Trazabilidad!$A$5:$A$61,"?*")</f>
        <v/>
      </c>
      <c r="C15" s="61" t="inlineStr">
        <is>
          <t>Todo hallazgo del Capítulo II que sostuvo el diagnóstico debería estar.</t>
        </is>
      </c>
    </row>
    <row r="16" ht="30" customHeight="1" s="31">
      <c r="A16" s="59" t="inlineStr">
        <is>
          <t>Hallazgos sin requisito ni justificación</t>
        </is>
      </c>
      <c r="B16" s="60">
        <f>COUNTIF(Trazabilidad!$F$5:$F$61,"Hallazgo sin destino")</f>
        <v/>
      </c>
      <c r="C16" s="61" t="inlineStr">
        <is>
          <t>Debe ser cero. El silencio no es una decisión.</t>
        </is>
      </c>
    </row>
    <row r="17" ht="30" customHeight="1" s="31">
      <c r="A17" s="59" t="inlineStr">
        <is>
          <t>Entidades aceptadas en el modelo del dominio</t>
        </is>
      </c>
      <c r="B17" s="60">
        <f>COUNTIF(Entidades!$E$5:$E$45,"Entidad")</f>
        <v/>
      </c>
      <c r="C17" s="61" t="inlineStr">
        <is>
          <t>Cada una debe tener su fuente en la columna correspondiente.</t>
        </is>
      </c>
    </row>
    <row r="18" ht="30" customHeight="1" s="31">
      <c r="A18" s="59" t="inlineStr">
        <is>
          <t>Candidatas evaluadas y reclasificadas</t>
        </is>
      </c>
      <c r="B18" s="60">
        <f>COUNTIF(Entidades!$A$5:$A$45,"?*")-COUNTIF(Entidades!$E$5:$E$45,"Entidad")</f>
        <v/>
      </c>
      <c r="C18" s="61" t="inlineStr">
        <is>
          <t>Los descartes documentados son los que permiten defender la delimitación.</t>
        </is>
      </c>
    </row>
    <row r="19" ht="30" customHeight="1" s="31">
      <c r="A19" s="59" t="inlineStr">
        <is>
          <t>Reglas de negocio registradas</t>
        </is>
      </c>
      <c r="B19" s="60">
        <f>COUNTIF(Reglas!$C$5:$C$40,"?*")</f>
        <v/>
      </c>
      <c r="C19" s="61" t="inlineStr">
        <is>
          <t>Mínimo exigido en el taller de la Clase 8: tres reglas enunciadas de modo verificable.</t>
        </is>
      </c>
    </row>
    <row r="20" ht="30" customHeight="1" s="31">
      <c r="A20" s="59" t="inlineStr">
        <is>
          <t>Reglas todavía pendientes de validación</t>
        </is>
      </c>
      <c r="B20" s="60">
        <f>COUNTIF(Reglas!$E$5:$E$40,"Pendiente")+COUNTIF(Reglas!$E$5:$E$40,"En disputa")</f>
        <v/>
      </c>
      <c r="C20" s="61" t="inlineStr">
        <is>
          <t>Toda regla pendiente pasa a la guía de la sesión de validación.</t>
        </is>
      </c>
    </row>
    <row r="21" ht="30" customHeight="1" s="31">
      <c r="A21" s="59" t="inlineStr">
        <is>
          <t>Términos del glosario en disputa</t>
        </is>
      </c>
      <c r="B21" s="60">
        <f>COUNTIF(Glosario!$E$5:$E$45,"Sí")</f>
        <v/>
      </c>
      <c r="C21" s="61" t="inlineStr">
        <is>
          <t>Se resuelven con el referente y se cierran con una definición acordada.</t>
        </is>
      </c>
    </row>
    <row r="22" ht="30" customHeight="1" s="31">
      <c r="A22" s="59" t="inlineStr">
        <is>
          <t>Horas asignadas a iteraciones</t>
        </is>
      </c>
      <c r="B22" s="60">
        <f>SUM(Iteraciones!$G$5:$G$12)</f>
        <v/>
      </c>
      <c r="C22" s="61" t="inlineStr">
        <is>
          <t>Deben caber en el presupuesto efectivo de horas de la hoja Iteraciones.</t>
        </is>
      </c>
    </row>
    <row r="23" ht="30" customHeight="1" s="31">
      <c r="A23" s="59" t="inlineStr">
        <is>
          <t>Coherencia entre recursos humanos y presupuesto de horas</t>
        </is>
      </c>
      <c r="B23" s="60">
        <f>Recursos!$F$38</f>
        <v/>
      </c>
      <c r="C23" s="61" t="inlineStr">
        <is>
          <t>Las horas del Capítulo X y las del Capítulo V deben ser el mismo número.</t>
        </is>
      </c>
    </row>
    <row r="25" ht="15" customHeight="1" s="31">
      <c r="A25" s="48" t="inlineStr">
        <is>
          <t>Condición material del cómputo</t>
        </is>
      </c>
    </row>
    <row r="26" ht="15" customHeight="1" s="31">
      <c r="A26" s="62" t="inlineStr">
        <is>
          <t>Ninguna de estas cifras sustituye la comprobación del prototipo v1. La cátedra clona el repositorio en la etiqueta v1, sigue las instrucciones del archivo de lectura y ejecuta. Un esqueleto que no arranca, no compila o carece de instrucciones no se computa como entregado, con independencia de la calidad del documento que lo acompañe.</t>
        </is>
      </c>
    </row>
    <row r="27" ht="15" customHeight="1" s="31"/>
  </sheetData>
  <mergeCells count="3">
    <mergeCell ref="A1:C1"/>
    <mergeCell ref="A2:C2"/>
    <mergeCell ref="A26:C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2026-09-10T23:59:21Z</dcterms:created>
  <dcterms:modified xsi:type="dcterms:W3CDTF">2026-10-01T22:47:05Z</dcterms:modified>
  <cp:revision>0</cp:revision>
</cp:coreProperties>
</file>